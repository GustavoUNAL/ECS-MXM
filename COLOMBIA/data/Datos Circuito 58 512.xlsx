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Grupo EPM\Archivos de DELGADO BLANCO LAURA MARCELA - AGPE\00 - INSUMOS AUTOGENERACIÓN\INSUMOS CIRCUITOS\1130607_58 512_AGPE\"/>
    </mc:Choice>
  </mc:AlternateContent>
  <xr:revisionPtr revIDLastSave="0" documentId="13_ncr:1_{5E14BDE4-9FF5-403D-A500-660437E201A3}" xr6:coauthVersionLast="47" xr6:coauthVersionMax="47" xr10:uidLastSave="{00000000-0000-0000-0000-000000000000}"/>
  <bookViews>
    <workbookView xWindow="-108" yWindow="-108" windowWidth="23256" windowHeight="13896" activeTab="1" xr2:uid="{1F864B03-D386-4A78-89A7-876BB6DCE44E}"/>
  </bookViews>
  <sheets>
    <sheet name="Líneas " sheetId="3" r:id="rId1"/>
    <sheet name="Cargas_Demanda_corto" sheetId="1" r:id="rId2"/>
    <sheet name="Protecciones" sheetId="2" r:id="rId3"/>
  </sheets>
  <externalReferences>
    <externalReference r:id="rId4"/>
  </externalReferences>
  <definedNames>
    <definedName name="_xlnm._FilterDatabase" localSheetId="1" hidden="1">Cargas_Demanda_corto!$A$1:$D$312</definedName>
    <definedName name="_xlnm._FilterDatabase" localSheetId="0" hidden="1">'Líneas '!$A$1:$J$1495</definedName>
    <definedName name="GENERACION1">[1]!GENERACION[TIPO DE GENERACIÓN]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Q3" i="1"/>
  <c r="Q5" i="1" l="1"/>
  <c r="Q4" i="1"/>
</calcChain>
</file>

<file path=xl/sharedStrings.xml><?xml version="1.0" encoding="utf-8"?>
<sst xmlns="http://schemas.openxmlformats.org/spreadsheetml/2006/main" count="1000" uniqueCount="340">
  <si>
    <t>Name</t>
  </si>
  <si>
    <t>Grid</t>
  </si>
  <si>
    <t>Terminal i</t>
  </si>
  <si>
    <t>Terminal j</t>
  </si>
  <si>
    <t>Length</t>
  </si>
  <si>
    <t>Rtd.Current</t>
  </si>
  <si>
    <t>R1</t>
  </si>
  <si>
    <t>X1</t>
  </si>
  <si>
    <t>B1</t>
  </si>
  <si>
    <t>R0</t>
  </si>
  <si>
    <t>X0</t>
  </si>
  <si>
    <t>B0</t>
  </si>
  <si>
    <t>Busbar</t>
  </si>
  <si>
    <t>km</t>
  </si>
  <si>
    <t>kA</t>
  </si>
  <si>
    <t>Ohm</t>
  </si>
  <si>
    <t>uS</t>
  </si>
  <si>
    <t>3F_15_ACSR_2_AIRE</t>
  </si>
  <si>
    <t>3F_15_ACSR_1/0_AIRE</t>
  </si>
  <si>
    <t>3F_15_ACSR_2/0_AIRE</t>
  </si>
  <si>
    <t>2F_15_ACSR_1/0_AIRE</t>
  </si>
  <si>
    <t>Terminal</t>
  </si>
  <si>
    <t>App.Pow.</t>
  </si>
  <si>
    <t>Pow.Fact.</t>
  </si>
  <si>
    <t>ESTACION</t>
  </si>
  <si>
    <t>EQUIPO_NT</t>
  </si>
  <si>
    <t>CAMPO</t>
  </si>
  <si>
    <t>FECHA</t>
  </si>
  <si>
    <t>I [A]</t>
  </si>
  <si>
    <t>S [MVA]</t>
  </si>
  <si>
    <t>StaCubic</t>
  </si>
  <si>
    <t>MVA</t>
  </si>
  <si>
    <t xml:space="preserve">Hora </t>
  </si>
  <si>
    <t>Potencia Aparente en cabecera del circuito</t>
  </si>
  <si>
    <t>Falla desde subestación</t>
  </si>
  <si>
    <t>Sk [MVA]</t>
  </si>
  <si>
    <t>Ik [kA]</t>
  </si>
  <si>
    <t>Ip [kA]</t>
  </si>
  <si>
    <t>Relación R/X (pico)</t>
  </si>
  <si>
    <t>Trifasico</t>
  </si>
  <si>
    <t>Monofasico (a)</t>
  </si>
  <si>
    <t>3F_15_CU_2_XLPE</t>
  </si>
  <si>
    <t>* GD aprobados: 0</t>
  </si>
  <si>
    <t>3F_15_ACSR_4/0_AIRE</t>
  </si>
  <si>
    <t>El apoyo donde se conectará el GD es el</t>
  </si>
  <si>
    <r>
      <t xml:space="preserve">Escenario horizonte de evaluación (t+x) con x=2. Año horizonte: </t>
    </r>
    <r>
      <rPr>
        <b/>
        <sz val="11"/>
        <color rgb="FFFF0000"/>
        <rFont val="Calibri"/>
        <family val="2"/>
        <scheme val="minor"/>
      </rPr>
      <t>2028</t>
    </r>
    <r>
      <rPr>
        <sz val="11"/>
        <color theme="1"/>
        <rFont val="Calibri"/>
        <family val="2"/>
        <scheme val="minor"/>
      </rPr>
      <t xml:space="preserve">
Se solicita que las proyecciones de demanda y condiciones de operación consideradas en el estudio sean evaluadas en conformidad con el documento UPME “Proyección de la demanda de energía eléctrica y potencia máxima 2025-2039 – Revisión julio de 2025”, tomando como referencia las proyecciones del área Nordeste, las cuales presentan un crecimiento aproximado acumulado del </t>
    </r>
    <r>
      <rPr>
        <b/>
        <sz val="11"/>
        <color rgb="FFFF0000"/>
        <rFont val="Calibri"/>
        <family val="2"/>
        <scheme val="minor"/>
      </rPr>
      <t>7,72%</t>
    </r>
    <r>
      <rPr>
        <sz val="11"/>
        <color theme="1"/>
        <rFont val="Calibri"/>
        <family val="2"/>
        <scheme val="minor"/>
      </rPr>
      <t xml:space="preserve"> entre los años 2026 y 2028.</t>
    </r>
  </si>
  <si>
    <t>Proyectos GD/AGPE/AGGE Aprobados (Incluir en simulación)</t>
  </si>
  <si>
    <t>Proyecto de generacion</t>
  </si>
  <si>
    <t>Circuito</t>
  </si>
  <si>
    <t>Apoyo</t>
  </si>
  <si>
    <t>Capacidad [kVA]</t>
  </si>
  <si>
    <t>No existen generadores aprobados vigentes para este circuito</t>
  </si>
  <si>
    <t>In Folder</t>
  </si>
  <si>
    <t>3F_15_CU_1/0_XLPE</t>
  </si>
  <si>
    <t>* Numero de solicitudes de insumos vigentes: 0</t>
  </si>
  <si>
    <t>* Numero de solicitudes de ECS en proceso de aprobación: 0</t>
  </si>
  <si>
    <t>58 512</t>
  </si>
  <si>
    <t xml:space="preserve">  6814484C</t>
  </si>
  <si>
    <t xml:space="preserve">  7338040A</t>
  </si>
  <si>
    <t xml:space="preserve">  7338040B</t>
  </si>
  <si>
    <t xml:space="preserve">  58 512_Term</t>
  </si>
  <si>
    <t>3F_15_CU_4/0_XLPE</t>
  </si>
  <si>
    <t>3F_15_ACSR_266_ECO</t>
  </si>
  <si>
    <t xml:space="preserve">  9838503B</t>
  </si>
  <si>
    <t xml:space="preserve">  9838490A</t>
  </si>
  <si>
    <t xml:space="preserve">  6894381A</t>
  </si>
  <si>
    <t xml:space="preserve">  6817246A</t>
  </si>
  <si>
    <t xml:space="preserve">  9787691A</t>
  </si>
  <si>
    <t xml:space="preserve">  6840621A</t>
  </si>
  <si>
    <t xml:space="preserve">  9094253C</t>
  </si>
  <si>
    <t xml:space="preserve">  4929730E</t>
  </si>
  <si>
    <t xml:space="preserve">  8814546A</t>
  </si>
  <si>
    <t xml:space="preserve">  6817394A</t>
  </si>
  <si>
    <t xml:space="preserve">  6817386B</t>
  </si>
  <si>
    <t xml:space="preserve">  6814450C</t>
  </si>
  <si>
    <t xml:space="preserve">  6814441A</t>
  </si>
  <si>
    <t xml:space="preserve">  4929730D</t>
  </si>
  <si>
    <t xml:space="preserve">  6814506A</t>
  </si>
  <si>
    <t xml:space="preserve">  4929730A</t>
  </si>
  <si>
    <t xml:space="preserve">  9838503C</t>
  </si>
  <si>
    <t xml:space="preserve">  6821022A</t>
  </si>
  <si>
    <t xml:space="preserve">  9838503A</t>
  </si>
  <si>
    <t xml:space="preserve">  6817343C</t>
  </si>
  <si>
    <t xml:space="preserve">  6817378D</t>
  </si>
  <si>
    <t xml:space="preserve">  8989427A</t>
  </si>
  <si>
    <t xml:space="preserve">  6814549A</t>
  </si>
  <si>
    <t xml:space="preserve">  8871981A</t>
  </si>
  <si>
    <t xml:space="preserve">  6814522B</t>
  </si>
  <si>
    <t xml:space="preserve">  8295999A</t>
  </si>
  <si>
    <t xml:space="preserve">  7883188B</t>
  </si>
  <si>
    <t xml:space="preserve">  7883188A</t>
  </si>
  <si>
    <t xml:space="preserve">  6894402A</t>
  </si>
  <si>
    <t xml:space="preserve">  7314612A</t>
  </si>
  <si>
    <t xml:space="preserve">  7074409B</t>
  </si>
  <si>
    <t xml:space="preserve">  5580587A</t>
  </si>
  <si>
    <t xml:space="preserve">  6894402B</t>
  </si>
  <si>
    <t xml:space="preserve">  6840531A</t>
  </si>
  <si>
    <t xml:space="preserve">  6820930B</t>
  </si>
  <si>
    <t xml:space="preserve">  6817378A</t>
  </si>
  <si>
    <t xml:space="preserve">  1192663A</t>
  </si>
  <si>
    <t xml:space="preserve">  6820972B</t>
  </si>
  <si>
    <t xml:space="preserve">  6818552A</t>
  </si>
  <si>
    <t xml:space="preserve">  5603820B</t>
  </si>
  <si>
    <t xml:space="preserve">  6820972A</t>
  </si>
  <si>
    <t xml:space="preserve">  4159233A</t>
  </si>
  <si>
    <t xml:space="preserve">  6821031A</t>
  </si>
  <si>
    <t xml:space="preserve">  4159233B</t>
  </si>
  <si>
    <t xml:space="preserve">  9838490B</t>
  </si>
  <si>
    <t xml:space="preserve">  6817289B</t>
  </si>
  <si>
    <t xml:space="preserve">  6817301A</t>
  </si>
  <si>
    <t xml:space="preserve">  4148223A</t>
  </si>
  <si>
    <t xml:space="preserve">  6840884A</t>
  </si>
  <si>
    <t xml:space="preserve">  6894356A</t>
  </si>
  <si>
    <t xml:space="preserve">  1191969A</t>
  </si>
  <si>
    <t xml:space="preserve">  4244231A</t>
  </si>
  <si>
    <t xml:space="preserve">  1220667B</t>
  </si>
  <si>
    <t xml:space="preserve">  4244052A</t>
  </si>
  <si>
    <t xml:space="preserve">  1220667A</t>
  </si>
  <si>
    <t xml:space="preserve">  6841031A</t>
  </si>
  <si>
    <t xml:space="preserve">  7074409A</t>
  </si>
  <si>
    <t xml:space="preserve">  5583471A</t>
  </si>
  <si>
    <t xml:space="preserve">  6814433C</t>
  </si>
  <si>
    <t xml:space="preserve">  6817459A</t>
  </si>
  <si>
    <t xml:space="preserve">  4231813D</t>
  </si>
  <si>
    <t xml:space="preserve">  4929730B</t>
  </si>
  <si>
    <t xml:space="preserve">  4929781A</t>
  </si>
  <si>
    <t xml:space="preserve">  4929772A</t>
  </si>
  <si>
    <t xml:space="preserve">  4929781B</t>
  </si>
  <si>
    <t xml:space="preserve">  4929527A</t>
  </si>
  <si>
    <t xml:space="preserve">  6840884D</t>
  </si>
  <si>
    <t xml:space="preserve">  4270045A</t>
  </si>
  <si>
    <t xml:space="preserve">  6817246B</t>
  </si>
  <si>
    <t xml:space="preserve">  4179421A</t>
  </si>
  <si>
    <t xml:space="preserve">  6840973A</t>
  </si>
  <si>
    <t xml:space="preserve">  7883196A</t>
  </si>
  <si>
    <t xml:space="preserve">  6819117A</t>
  </si>
  <si>
    <t xml:space="preserve">  7883170A</t>
  </si>
  <si>
    <t xml:space="preserve">  6817220C</t>
  </si>
  <si>
    <t xml:space="preserve">  6817203A</t>
  </si>
  <si>
    <t xml:space="preserve">  6814522A</t>
  </si>
  <si>
    <t xml:space="preserve">  6819290A</t>
  </si>
  <si>
    <t xml:space="preserve">  6819303A</t>
  </si>
  <si>
    <t xml:space="preserve">  6819231A</t>
  </si>
  <si>
    <t xml:space="preserve">  6819249A</t>
  </si>
  <si>
    <t xml:space="preserve">  6819273A</t>
  </si>
  <si>
    <t xml:space="preserve">  6819231B</t>
  </si>
  <si>
    <t xml:space="preserve">  9787682A</t>
  </si>
  <si>
    <t xml:space="preserve">  6840841B</t>
  </si>
  <si>
    <t xml:space="preserve">  6840841A</t>
  </si>
  <si>
    <t xml:space="preserve">  6820956A</t>
  </si>
  <si>
    <t xml:space="preserve">  6820930A</t>
  </si>
  <si>
    <t xml:space="preserve">  6821006A</t>
  </si>
  <si>
    <t xml:space="preserve">  6821057A</t>
  </si>
  <si>
    <t xml:space="preserve">  6821031B</t>
  </si>
  <si>
    <t>3F_15_ACSR_4_AIRE</t>
  </si>
  <si>
    <t xml:space="preserve">  6841180A</t>
  </si>
  <si>
    <t xml:space="preserve">  6841091A</t>
  </si>
  <si>
    <t xml:space="preserve">  6841155C</t>
  </si>
  <si>
    <t xml:space="preserve">  6841171A</t>
  </si>
  <si>
    <t xml:space="preserve">  6841155B</t>
  </si>
  <si>
    <t xml:space="preserve">  6841155A</t>
  </si>
  <si>
    <t xml:space="preserve">  6817254B</t>
  </si>
  <si>
    <t xml:space="preserve">  6814476A</t>
  </si>
  <si>
    <t xml:space="preserve">  6814433B</t>
  </si>
  <si>
    <t xml:space="preserve">  7184590A</t>
  </si>
  <si>
    <t xml:space="preserve">  6814433A</t>
  </si>
  <si>
    <t xml:space="preserve">  6814417D</t>
  </si>
  <si>
    <t xml:space="preserve">  6814417A</t>
  </si>
  <si>
    <t xml:space="preserve">  6814450A</t>
  </si>
  <si>
    <t xml:space="preserve">  7883188C</t>
  </si>
  <si>
    <t xml:space="preserve">  6841171B</t>
  </si>
  <si>
    <t xml:space="preserve">  6841031B</t>
  </si>
  <si>
    <t xml:space="preserve">  6821006B</t>
  </si>
  <si>
    <t xml:space="preserve">  6819249B</t>
  </si>
  <si>
    <t xml:space="preserve">  6817386A</t>
  </si>
  <si>
    <t xml:space="preserve">  4929527B</t>
  </si>
  <si>
    <t>Line(1)</t>
  </si>
  <si>
    <t>expansiones</t>
  </si>
  <si>
    <t>Line</t>
  </si>
  <si>
    <t>302114_LV_LOAD</t>
  </si>
  <si>
    <t xml:space="preserve">  302114_LV</t>
  </si>
  <si>
    <t>302168_LV_LOAD</t>
  </si>
  <si>
    <t xml:space="preserve">  302168_LV</t>
  </si>
  <si>
    <t>719650_LV_LOAD</t>
  </si>
  <si>
    <t xml:space="preserve">  719650_LV</t>
  </si>
  <si>
    <t>714584_LV_LOAD</t>
  </si>
  <si>
    <t xml:space="preserve">  714584_LV</t>
  </si>
  <si>
    <t>709212_LV_LOAD</t>
  </si>
  <si>
    <t xml:space="preserve">  709212_LV</t>
  </si>
  <si>
    <t>715922_LV_LOAD</t>
  </si>
  <si>
    <t xml:space="preserve">  715922_LV</t>
  </si>
  <si>
    <t>704044_LV_LOAD</t>
  </si>
  <si>
    <t xml:space="preserve">  704044_LV</t>
  </si>
  <si>
    <t>302150_LV_LOAD</t>
  </si>
  <si>
    <t xml:space="preserve">  302150_LV</t>
  </si>
  <si>
    <t>708423_LV_LOAD</t>
  </si>
  <si>
    <t xml:space="preserve">  708423_LV</t>
  </si>
  <si>
    <t>725519_LV_LOAD</t>
  </si>
  <si>
    <t xml:space="preserve">  725519_LV</t>
  </si>
  <si>
    <t>302112_LV_LOAD</t>
  </si>
  <si>
    <t xml:space="preserve">  302112_LV</t>
  </si>
  <si>
    <t>726470_LV_LOAD</t>
  </si>
  <si>
    <t xml:space="preserve">  726470_LV</t>
  </si>
  <si>
    <t>302118_LV_LOAD</t>
  </si>
  <si>
    <t xml:space="preserve">  302118_LV</t>
  </si>
  <si>
    <t>302116_LV_LOAD</t>
  </si>
  <si>
    <t xml:space="preserve">  302116_LV</t>
  </si>
  <si>
    <t>725279_LV_LOAD</t>
  </si>
  <si>
    <t xml:space="preserve">  725279_LV</t>
  </si>
  <si>
    <t>302117_LV_LOAD</t>
  </si>
  <si>
    <t xml:space="preserve">  302117_LV</t>
  </si>
  <si>
    <t>302134_LV_LOAD</t>
  </si>
  <si>
    <t xml:space="preserve">  302134_LV</t>
  </si>
  <si>
    <t>302137_LV_LOAD</t>
  </si>
  <si>
    <t xml:space="preserve">  302137_LV</t>
  </si>
  <si>
    <t>302136_LV_LOAD</t>
  </si>
  <si>
    <t xml:space="preserve">  302136_LV</t>
  </si>
  <si>
    <t>302133_LV_LOAD</t>
  </si>
  <si>
    <t xml:space="preserve">  302133_LV</t>
  </si>
  <si>
    <t>302151_LV_LOAD</t>
  </si>
  <si>
    <t xml:space="preserve">  302151_LV</t>
  </si>
  <si>
    <t>302125_LV_LOAD</t>
  </si>
  <si>
    <t xml:space="preserve">  302125_LV</t>
  </si>
  <si>
    <t>726515_LV_LOAD</t>
  </si>
  <si>
    <t xml:space="preserve">  726515_LV</t>
  </si>
  <si>
    <t>303303_LV_LOAD</t>
  </si>
  <si>
    <t xml:space="preserve">  303303_LV</t>
  </si>
  <si>
    <t>302161_LV_LOAD</t>
  </si>
  <si>
    <t xml:space="preserve">  302161_LV</t>
  </si>
  <si>
    <t>302131_LV_LOAD</t>
  </si>
  <si>
    <t xml:space="preserve">  302131_LV</t>
  </si>
  <si>
    <t>302159_LV_LOAD</t>
  </si>
  <si>
    <t xml:space="preserve">  302159_LV</t>
  </si>
  <si>
    <t>735964_LV_LOAD</t>
  </si>
  <si>
    <t xml:space="preserve">  735964_LV</t>
  </si>
  <si>
    <t>302156_LV_LOAD</t>
  </si>
  <si>
    <t xml:space="preserve">  302156_LV</t>
  </si>
  <si>
    <t>302157_LV_LOAD</t>
  </si>
  <si>
    <t xml:space="preserve">  302157_LV</t>
  </si>
  <si>
    <t>722189_LV_LOAD</t>
  </si>
  <si>
    <t xml:space="preserve">  722189_LV</t>
  </si>
  <si>
    <t>302153_LV_LOAD</t>
  </si>
  <si>
    <t xml:space="preserve">  302153_LV</t>
  </si>
  <si>
    <t>702198_LV_LOAD</t>
  </si>
  <si>
    <t xml:space="preserve">  702198_LV</t>
  </si>
  <si>
    <t>302152_LV_LOAD</t>
  </si>
  <si>
    <t xml:space="preserve">  302152_LV</t>
  </si>
  <si>
    <t>715567_LV_LOAD</t>
  </si>
  <si>
    <t xml:space="preserve">  715567_LV</t>
  </si>
  <si>
    <t>302147_LV_LOAD</t>
  </si>
  <si>
    <t xml:space="preserve">  302147_LV</t>
  </si>
  <si>
    <t>302129_LV_LOAD</t>
  </si>
  <si>
    <t xml:space="preserve">  302129_LV</t>
  </si>
  <si>
    <t>302128_LV_LOAD</t>
  </si>
  <si>
    <t xml:space="preserve">  302128_LV</t>
  </si>
  <si>
    <t>302113_LV_LOAD</t>
  </si>
  <si>
    <t xml:space="preserve">  302113_LV</t>
  </si>
  <si>
    <t>302111_LV_LOAD</t>
  </si>
  <si>
    <t xml:space="preserve">  302111_LV</t>
  </si>
  <si>
    <t>302055_LV_LOAD</t>
  </si>
  <si>
    <t xml:space="preserve">  302055_LV</t>
  </si>
  <si>
    <t>302209_LV_LOAD</t>
  </si>
  <si>
    <t xml:space="preserve">  302209_LV</t>
  </si>
  <si>
    <t>302191_LV_LOAD</t>
  </si>
  <si>
    <t xml:space="preserve">  302191_LV</t>
  </si>
  <si>
    <t>735212_LV_LOAD</t>
  </si>
  <si>
    <t xml:space="preserve">  735212_LV</t>
  </si>
  <si>
    <t>302193_LV_LOAD</t>
  </si>
  <si>
    <t xml:space="preserve">  302193_LV</t>
  </si>
  <si>
    <t>302063_LV_LOAD</t>
  </si>
  <si>
    <t xml:space="preserve">  302063_LV</t>
  </si>
  <si>
    <t>302062_LV_LOAD</t>
  </si>
  <si>
    <t xml:space="preserve">  302062_LV</t>
  </si>
  <si>
    <t>302061_LV_LOAD</t>
  </si>
  <si>
    <t xml:space="preserve">  302061_LV</t>
  </si>
  <si>
    <t>302060_LV_LOAD</t>
  </si>
  <si>
    <t xml:space="preserve">  302060_LV</t>
  </si>
  <si>
    <t>302059_LV_LOAD</t>
  </si>
  <si>
    <t xml:space="preserve">  302059_LV</t>
  </si>
  <si>
    <t>302067_LV_LOAD</t>
  </si>
  <si>
    <t xml:space="preserve">  302067_LV</t>
  </si>
  <si>
    <t>304007_LV_LOAD</t>
  </si>
  <si>
    <t xml:space="preserve">  304007_LV</t>
  </si>
  <si>
    <t>705252_LV_LOAD</t>
  </si>
  <si>
    <t xml:space="preserve">  705252_LV</t>
  </si>
  <si>
    <t>705808_LV_LOAD</t>
  </si>
  <si>
    <t xml:space="preserve">  705808_LV</t>
  </si>
  <si>
    <t>706708_LV_LOAD</t>
  </si>
  <si>
    <t xml:space="preserve">  706708_LV</t>
  </si>
  <si>
    <t>706641_LV_LOAD</t>
  </si>
  <si>
    <t xml:space="preserve">  706641_LV</t>
  </si>
  <si>
    <t>705677_LV_LOAD</t>
  </si>
  <si>
    <t xml:space="preserve">  705677_LV</t>
  </si>
  <si>
    <t>706279_LV_LOAD</t>
  </si>
  <si>
    <t xml:space="preserve">  706279_LV</t>
  </si>
  <si>
    <t>706125_LV_LOAD</t>
  </si>
  <si>
    <t xml:space="preserve">  706125_LV</t>
  </si>
  <si>
    <t>704876_LV_LOAD</t>
  </si>
  <si>
    <t xml:space="preserve">  704876_LV</t>
  </si>
  <si>
    <t>302132_LV_LOAD</t>
  </si>
  <si>
    <t xml:space="preserve">  302132_LV</t>
  </si>
  <si>
    <t>703444_LV_LOAD</t>
  </si>
  <si>
    <t xml:space="preserve">  703444_LV</t>
  </si>
  <si>
    <t>Corto en Barraje 13,8 kV S/E Bs. Aires</t>
  </si>
  <si>
    <t>SEBAIRES</t>
  </si>
  <si>
    <t>58-512</t>
  </si>
  <si>
    <t>Información de solicitudes en el circuito 58 512</t>
  </si>
  <si>
    <t>SUBESTACIÓN</t>
  </si>
  <si>
    <t>BAHÍA</t>
  </si>
  <si>
    <t>TENSIÓN (kV)</t>
  </si>
  <si>
    <t>RTC</t>
  </si>
  <si>
    <t>RTP</t>
  </si>
  <si>
    <t>FABRICANTE</t>
  </si>
  <si>
    <t>MODELO</t>
  </si>
  <si>
    <t>NÚMERO
SERIAL</t>
  </si>
  <si>
    <t>PROTECCIÓN</t>
  </si>
  <si>
    <t>FUNCIÓN DEL RELÉ</t>
  </si>
  <si>
    <t>TIPO DE PROTECCIÓN</t>
  </si>
  <si>
    <t>AJUSTES DE FASE</t>
  </si>
  <si>
    <t>Dir</t>
  </si>
  <si>
    <t>Dial</t>
  </si>
  <si>
    <t>Curva</t>
  </si>
  <si>
    <t>50-1</t>
  </si>
  <si>
    <t>Time delay (s)</t>
  </si>
  <si>
    <t>AJUSTES DE TIERRA</t>
  </si>
  <si>
    <t>RECIERRE</t>
  </si>
  <si>
    <t>51N</t>
  </si>
  <si>
    <t>50N</t>
  </si>
  <si>
    <t xml:space="preserve">  79-1
/ 79-2</t>
  </si>
  <si>
    <t>Reset time (s)</t>
  </si>
  <si>
    <t>BUENOS AIRES</t>
  </si>
  <si>
    <t>CTO 58512</t>
  </si>
  <si>
    <t>GENERAL ELECTRIC</t>
  </si>
  <si>
    <t>F650</t>
  </si>
  <si>
    <t>(50), (50N), (51), (51N)</t>
  </si>
  <si>
    <t>Sobrecorriente</t>
  </si>
  <si>
    <t>Protección Principal</t>
  </si>
  <si>
    <t>None</t>
  </si>
  <si>
    <t>IEC VI</t>
  </si>
  <si>
    <t>15/30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</si>
</sst>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7" formatCode="0.000000"/>
    <numFmt numFmtId="168" formatCode="[$-F400]h:mm:ss\ AM/PM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5F8F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0FFE0"/>
        <bgColor indexed="64"/>
      </patternFill>
    </fill>
    <fill>
      <patternFill patternType="solid">
        <fgColor rgb="FFEAFB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0" xfId="0" applyFont="1"/>
    <xf numFmtId="164" fontId="2" fillId="2" borderId="3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top"/>
    </xf>
    <xf numFmtId="0" fontId="5" fillId="8" borderId="6" xfId="0" applyFont="1" applyFill="1" applyBorder="1" applyAlignment="1">
      <alignment vertical="top"/>
    </xf>
    <xf numFmtId="0" fontId="5" fillId="4" borderId="6" xfId="0" applyFont="1" applyFill="1" applyBorder="1" applyAlignment="1">
      <alignment vertical="top"/>
    </xf>
    <xf numFmtId="167" fontId="2" fillId="2" borderId="2" xfId="0" applyNumberFormat="1" applyFont="1" applyFill="1" applyBorder="1"/>
    <xf numFmtId="167" fontId="2" fillId="0" borderId="2" xfId="0" applyNumberFormat="1" applyFont="1" applyBorder="1"/>
    <xf numFmtId="168" fontId="3" fillId="3" borderId="2" xfId="0" applyNumberFormat="1" applyFont="1" applyFill="1" applyBorder="1" applyAlignment="1">
      <alignment horizontal="center" vertical="center"/>
    </xf>
    <xf numFmtId="168" fontId="2" fillId="2" borderId="2" xfId="0" applyNumberFormat="1" applyFont="1" applyFill="1" applyBorder="1"/>
    <xf numFmtId="168" fontId="2" fillId="0" borderId="2" xfId="0" applyNumberFormat="1" applyFont="1" applyBorder="1"/>
    <xf numFmtId="168" fontId="0" fillId="0" borderId="0" xfId="0" applyNumberFormat="1"/>
    <xf numFmtId="0" fontId="6" fillId="10" borderId="3" xfId="0" applyFont="1" applyFill="1" applyBorder="1"/>
    <xf numFmtId="0" fontId="5" fillId="6" borderId="6" xfId="0" applyFont="1" applyFill="1" applyBorder="1" applyAlignment="1">
      <alignment vertical="top"/>
    </xf>
    <xf numFmtId="0" fontId="5" fillId="7" borderId="6" xfId="0" applyFont="1" applyFill="1" applyBorder="1" applyAlignment="1">
      <alignment vertical="top"/>
    </xf>
    <xf numFmtId="0" fontId="6" fillId="10" borderId="5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10" borderId="16" xfId="0" applyFon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9" borderId="10" xfId="0" applyFill="1" applyBorder="1"/>
    <xf numFmtId="0" fontId="0" fillId="9" borderId="0" xfId="0" applyFill="1"/>
    <xf numFmtId="0" fontId="0" fillId="9" borderId="11" xfId="0" applyFill="1" applyBorder="1"/>
    <xf numFmtId="0" fontId="0" fillId="9" borderId="12" xfId="0" applyFill="1" applyBorder="1"/>
    <xf numFmtId="0" fontId="0" fillId="9" borderId="13" xfId="0" applyFill="1" applyBorder="1"/>
    <xf numFmtId="0" fontId="0" fillId="9" borderId="14" xfId="0" applyFill="1" applyBorder="1"/>
    <xf numFmtId="0" fontId="6" fillId="9" borderId="7" xfId="0" applyFont="1" applyFill="1" applyBorder="1" applyAlignment="1">
      <alignment wrapText="1"/>
    </xf>
    <xf numFmtId="0" fontId="6" fillId="9" borderId="8" xfId="0" applyFont="1" applyFill="1" applyBorder="1" applyAlignment="1">
      <alignment wrapText="1"/>
    </xf>
    <xf numFmtId="0" fontId="6" fillId="9" borderId="9" xfId="0" applyFont="1" applyFill="1" applyBorder="1" applyAlignment="1">
      <alignment wrapText="1"/>
    </xf>
    <xf numFmtId="0" fontId="9" fillId="11" borderId="17" xfId="0" applyFont="1" applyFill="1" applyBorder="1" applyAlignment="1">
      <alignment horizontal="center" vertical="center" wrapText="1"/>
    </xf>
    <xf numFmtId="0" fontId="9" fillId="12" borderId="17" xfId="0" applyFont="1" applyFill="1" applyBorder="1" applyAlignment="1">
      <alignment horizontal="center" vertical="center" wrapText="1"/>
    </xf>
    <xf numFmtId="49" fontId="10" fillId="12" borderId="17" xfId="0" applyNumberFormat="1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12" borderId="15" xfId="0" applyFont="1" applyFill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9" fillId="11" borderId="18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/>
    </xf>
    <xf numFmtId="49" fontId="10" fillId="12" borderId="18" xfId="0" applyNumberFormat="1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49" fontId="9" fillId="11" borderId="3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2" fontId="11" fillId="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70C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70C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15</xdr:row>
      <xdr:rowOff>0</xdr:rowOff>
    </xdr:from>
    <xdr:to>
      <xdr:col>20</xdr:col>
      <xdr:colOff>312518</xdr:colOff>
      <xdr:row>57</xdr:row>
      <xdr:rowOff>17309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C6002A-F89B-77A5-9794-0E4AD6969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74071" y="2904565"/>
          <a:ext cx="7125694" cy="75924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laurama\Descargas\SEGUIMIENTO%20%20SOLICITUDES%20AGPE%20Y%20GD%20(Manual%203)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vo plano ESTADOS WEB"/>
      <sheetName val="Estadisticas"/>
      <sheetName val="Estadistica Gráficos"/>
      <sheetName val="Solicitudes CGM"/>
      <sheetName val="MANUAL"/>
      <sheetName val="CONSULTA ETD"/>
      <sheetName val="ESTADISTICAS VDD"/>
      <sheetName val="PRUEBA"/>
      <sheetName val="MENORES A 100"/>
      <sheetName val="SUB MAYORES"/>
      <sheetName val="MAYORES= A 100"/>
      <sheetName val="COMUNICACIONES"/>
      <sheetName val="CONTROL MANUAL"/>
      <sheetName val="CONTROL VISITAS"/>
      <sheetName val="Promotores en ESSA"/>
      <sheetName val="Listas Desplegables ()"/>
      <sheetName val="DIRECTORIO PROMOTORES"/>
      <sheetName val="Zonas ATC"/>
      <sheetName val="Hoja1"/>
      <sheetName val="Hoja5"/>
      <sheetName val="SEGUIMIENTO  SOLICITUDES AGPE 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A7695-7C35-4D32-8757-458EB51FE073}">
  <dimension ref="A1:N167"/>
  <sheetViews>
    <sheetView zoomScale="70" zoomScaleNormal="70" workbookViewId="0">
      <selection activeCell="G23" sqref="G23"/>
    </sheetView>
  </sheetViews>
  <sheetFormatPr baseColWidth="10" defaultColWidth="11.44140625" defaultRowHeight="14.4" x14ac:dyDescent="0.3"/>
  <cols>
    <col min="1" max="1" width="7.77734375" bestFit="1" customWidth="1"/>
    <col min="2" max="3" width="12" bestFit="1" customWidth="1"/>
    <col min="4" max="4" width="11.109375" bestFit="1" customWidth="1"/>
    <col min="5" max="5" width="13.33203125" bestFit="1" customWidth="1"/>
    <col min="6" max="6" width="7.77734375" bestFit="1" customWidth="1"/>
    <col min="7" max="7" width="20.44140625" bestFit="1" customWidth="1"/>
    <col min="8" max="8" width="11.33203125" bestFit="1" customWidth="1"/>
    <col min="9" max="14" width="7.77734375" bestFit="1" customWidth="1"/>
  </cols>
  <sheetData>
    <row r="1" spans="1:14" x14ac:dyDescent="0.3">
      <c r="A1" s="16" t="s">
        <v>0</v>
      </c>
      <c r="B1" s="16" t="s">
        <v>52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0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9</v>
      </c>
      <c r="M1" s="16" t="s">
        <v>10</v>
      </c>
      <c r="N1" s="16" t="s">
        <v>11</v>
      </c>
    </row>
    <row r="2" spans="1:14" x14ac:dyDescent="0.3">
      <c r="A2" s="16"/>
      <c r="B2" s="16"/>
      <c r="C2" s="16"/>
      <c r="D2" s="16" t="s">
        <v>12</v>
      </c>
      <c r="E2" s="16" t="s">
        <v>12</v>
      </c>
      <c r="F2" s="16" t="s">
        <v>13</v>
      </c>
      <c r="G2" s="16"/>
      <c r="H2" s="16" t="s">
        <v>14</v>
      </c>
      <c r="I2" s="16" t="s">
        <v>15</v>
      </c>
      <c r="J2" s="16" t="s">
        <v>15</v>
      </c>
      <c r="K2" s="16" t="s">
        <v>16</v>
      </c>
      <c r="L2" s="16" t="s">
        <v>15</v>
      </c>
      <c r="M2" s="16" t="s">
        <v>15</v>
      </c>
      <c r="N2" s="16" t="s">
        <v>16</v>
      </c>
    </row>
    <row r="3" spans="1:14" x14ac:dyDescent="0.3">
      <c r="A3" s="17">
        <v>807109</v>
      </c>
      <c r="B3" s="17" t="s">
        <v>56</v>
      </c>
      <c r="C3" s="17" t="s">
        <v>56</v>
      </c>
      <c r="D3" s="17">
        <v>9891951</v>
      </c>
      <c r="E3" s="17" t="s">
        <v>57</v>
      </c>
      <c r="F3" s="17">
        <v>1.4E-3</v>
      </c>
      <c r="G3" s="26" t="s">
        <v>43</v>
      </c>
      <c r="H3" s="26">
        <v>0.35499999999999998</v>
      </c>
      <c r="I3" s="17">
        <v>4.0000000000000002E-4</v>
      </c>
      <c r="J3" s="17">
        <v>5.9999999999999995E-4</v>
      </c>
      <c r="K3" s="17">
        <v>5.7000000000000002E-3</v>
      </c>
      <c r="L3" s="17">
        <v>8.0000000000000004E-4</v>
      </c>
      <c r="M3" s="17">
        <v>2.5999999999999999E-3</v>
      </c>
      <c r="N3" s="17">
        <v>2.5999999999999999E-3</v>
      </c>
    </row>
    <row r="4" spans="1:14" x14ac:dyDescent="0.3">
      <c r="A4" s="18">
        <v>803275</v>
      </c>
      <c r="B4" s="18" t="s">
        <v>56</v>
      </c>
      <c r="C4" s="18" t="s">
        <v>56</v>
      </c>
      <c r="D4" s="18" t="s">
        <v>58</v>
      </c>
      <c r="E4" s="18">
        <v>9891714</v>
      </c>
      <c r="F4" s="18">
        <v>4.6100000000000002E-2</v>
      </c>
      <c r="G4" s="27" t="s">
        <v>19</v>
      </c>
      <c r="H4" s="27">
        <v>0.27500000000000002</v>
      </c>
      <c r="I4" s="18">
        <v>1.9099999999999999E-2</v>
      </c>
      <c r="J4" s="18">
        <v>2.06E-2</v>
      </c>
      <c r="K4" s="18">
        <v>0.1774</v>
      </c>
      <c r="L4" s="18">
        <v>3.3700000000000001E-2</v>
      </c>
      <c r="M4" s="18">
        <v>8.5800000000000001E-2</v>
      </c>
      <c r="N4" s="18">
        <v>8.1299999999999997E-2</v>
      </c>
    </row>
    <row r="5" spans="1:14" x14ac:dyDescent="0.3">
      <c r="A5" s="17">
        <v>787612</v>
      </c>
      <c r="B5" s="17" t="s">
        <v>56</v>
      </c>
      <c r="C5" s="17" t="s">
        <v>56</v>
      </c>
      <c r="D5" s="17" t="s">
        <v>59</v>
      </c>
      <c r="E5" s="17" t="s">
        <v>60</v>
      </c>
      <c r="F5" s="17">
        <v>1.2E-2</v>
      </c>
      <c r="G5" s="26" t="s">
        <v>53</v>
      </c>
      <c r="H5" s="26">
        <v>0.2</v>
      </c>
      <c r="I5" s="17">
        <v>5.0000000000000001E-3</v>
      </c>
      <c r="J5" s="17">
        <v>1.9E-3</v>
      </c>
      <c r="K5" s="17">
        <v>0</v>
      </c>
      <c r="L5" s="17">
        <v>8.0000000000000002E-3</v>
      </c>
      <c r="M5" s="17">
        <v>4.8999999999999998E-3</v>
      </c>
      <c r="N5" s="17">
        <v>0</v>
      </c>
    </row>
    <row r="6" spans="1:14" x14ac:dyDescent="0.3">
      <c r="A6" s="18">
        <v>787611</v>
      </c>
      <c r="B6" s="18" t="s">
        <v>56</v>
      </c>
      <c r="C6" s="18" t="s">
        <v>56</v>
      </c>
      <c r="D6" s="18">
        <v>3073637</v>
      </c>
      <c r="E6" s="18">
        <v>3073645</v>
      </c>
      <c r="F6" s="18">
        <v>3.5999999999999997E-2</v>
      </c>
      <c r="G6" s="27" t="s">
        <v>61</v>
      </c>
      <c r="H6" s="27">
        <v>0.29499999999999998</v>
      </c>
      <c r="I6" s="18">
        <v>8.0000000000000002E-3</v>
      </c>
      <c r="J6" s="18">
        <v>5.1000000000000004E-3</v>
      </c>
      <c r="K6" s="18">
        <v>0</v>
      </c>
      <c r="L6" s="18">
        <v>1.2E-2</v>
      </c>
      <c r="M6" s="18">
        <v>1.29E-2</v>
      </c>
      <c r="N6" s="18">
        <v>0</v>
      </c>
    </row>
    <row r="7" spans="1:14" x14ac:dyDescent="0.3">
      <c r="A7" s="17">
        <v>787609</v>
      </c>
      <c r="B7" s="17" t="s">
        <v>56</v>
      </c>
      <c r="C7" s="17" t="s">
        <v>56</v>
      </c>
      <c r="D7" s="17">
        <v>9891714</v>
      </c>
      <c r="E7" s="17">
        <v>3073637</v>
      </c>
      <c r="F7" s="17">
        <v>0.02</v>
      </c>
      <c r="G7" s="26" t="s">
        <v>61</v>
      </c>
      <c r="H7" s="26">
        <v>0.29499999999999998</v>
      </c>
      <c r="I7" s="17">
        <v>4.4000000000000003E-3</v>
      </c>
      <c r="J7" s="17">
        <v>2.8E-3</v>
      </c>
      <c r="K7" s="17">
        <v>0</v>
      </c>
      <c r="L7" s="17">
        <v>6.7000000000000002E-3</v>
      </c>
      <c r="M7" s="17">
        <v>7.1999999999999998E-3</v>
      </c>
      <c r="N7" s="17">
        <v>0</v>
      </c>
    </row>
    <row r="8" spans="1:14" x14ac:dyDescent="0.3">
      <c r="A8" s="18">
        <v>787562</v>
      </c>
      <c r="B8" s="18" t="s">
        <v>56</v>
      </c>
      <c r="C8" s="18" t="s">
        <v>56</v>
      </c>
      <c r="D8" s="18">
        <v>3073645</v>
      </c>
      <c r="E8" s="18">
        <v>3073653</v>
      </c>
      <c r="F8" s="18">
        <v>2.9899999999999999E-2</v>
      </c>
      <c r="G8" s="27" t="s">
        <v>61</v>
      </c>
      <c r="H8" s="27">
        <v>0.29499999999999998</v>
      </c>
      <c r="I8" s="18">
        <v>6.6E-3</v>
      </c>
      <c r="J8" s="18">
        <v>4.1999999999999997E-3</v>
      </c>
      <c r="K8" s="18">
        <v>0</v>
      </c>
      <c r="L8" s="18">
        <v>0.01</v>
      </c>
      <c r="M8" s="18">
        <v>1.0699999999999999E-2</v>
      </c>
      <c r="N8" s="18">
        <v>0</v>
      </c>
    </row>
    <row r="9" spans="1:14" x14ac:dyDescent="0.3">
      <c r="A9" s="17">
        <v>781314</v>
      </c>
      <c r="B9" s="17" t="s">
        <v>56</v>
      </c>
      <c r="C9" s="17" t="s">
        <v>56</v>
      </c>
      <c r="D9" s="17">
        <v>9891757</v>
      </c>
      <c r="E9" s="17">
        <v>9891765</v>
      </c>
      <c r="F9" s="17">
        <v>4.2200000000000001E-2</v>
      </c>
      <c r="G9" s="26" t="s">
        <v>62</v>
      </c>
      <c r="H9" s="26">
        <v>0.46500000000000002</v>
      </c>
      <c r="I9" s="17">
        <v>8.9999999999999993E-3</v>
      </c>
      <c r="J9" s="17">
        <v>1.44E-2</v>
      </c>
      <c r="K9" s="17">
        <v>0.24529999999999999</v>
      </c>
      <c r="L9" s="17">
        <v>1.6400000000000001E-2</v>
      </c>
      <c r="M9" s="17">
        <v>0.1983</v>
      </c>
      <c r="N9" s="17">
        <v>5.7000000000000002E-2</v>
      </c>
    </row>
    <row r="10" spans="1:14" x14ac:dyDescent="0.3">
      <c r="A10" s="18">
        <v>781313</v>
      </c>
      <c r="B10" s="18" t="s">
        <v>56</v>
      </c>
      <c r="C10" s="18" t="s">
        <v>56</v>
      </c>
      <c r="D10" s="18">
        <v>5583462</v>
      </c>
      <c r="E10" s="18">
        <v>9891757</v>
      </c>
      <c r="F10" s="18">
        <v>2.1700000000000001E-2</v>
      </c>
      <c r="G10" s="27" t="s">
        <v>62</v>
      </c>
      <c r="H10" s="27">
        <v>0.46500000000000002</v>
      </c>
      <c r="I10" s="18">
        <v>4.5999999999999999E-3</v>
      </c>
      <c r="J10" s="18">
        <v>7.4000000000000003E-3</v>
      </c>
      <c r="K10" s="18">
        <v>0.1265</v>
      </c>
      <c r="L10" s="18">
        <v>8.5000000000000006E-3</v>
      </c>
      <c r="M10" s="18">
        <v>0.1023</v>
      </c>
      <c r="N10" s="18">
        <v>2.9399999999999999E-2</v>
      </c>
    </row>
    <row r="11" spans="1:14" x14ac:dyDescent="0.3">
      <c r="A11" s="17">
        <v>781311</v>
      </c>
      <c r="B11" s="17" t="s">
        <v>56</v>
      </c>
      <c r="C11" s="17" t="s">
        <v>56</v>
      </c>
      <c r="D11" s="17">
        <v>9891749</v>
      </c>
      <c r="E11" s="17">
        <v>5583462</v>
      </c>
      <c r="F11" s="17">
        <v>2.1899999999999999E-2</v>
      </c>
      <c r="G11" s="26" t="s">
        <v>62</v>
      </c>
      <c r="H11" s="26">
        <v>0.46500000000000002</v>
      </c>
      <c r="I11" s="17">
        <v>4.7000000000000002E-3</v>
      </c>
      <c r="J11" s="17">
        <v>7.4999999999999997E-3</v>
      </c>
      <c r="K11" s="17">
        <v>0.12740000000000001</v>
      </c>
      <c r="L11" s="17">
        <v>8.5000000000000006E-3</v>
      </c>
      <c r="M11" s="17">
        <v>0.10299999999999999</v>
      </c>
      <c r="N11" s="17">
        <v>2.9600000000000001E-2</v>
      </c>
    </row>
    <row r="12" spans="1:14" x14ac:dyDescent="0.3">
      <c r="A12" s="18">
        <v>781310</v>
      </c>
      <c r="B12" s="18" t="s">
        <v>56</v>
      </c>
      <c r="C12" s="18" t="s">
        <v>56</v>
      </c>
      <c r="D12" s="18">
        <v>9891731</v>
      </c>
      <c r="E12" s="18">
        <v>9891749</v>
      </c>
      <c r="F12" s="18">
        <v>3.4000000000000002E-2</v>
      </c>
      <c r="G12" s="27" t="s">
        <v>61</v>
      </c>
      <c r="H12" s="27">
        <v>0.29499999999999998</v>
      </c>
      <c r="I12" s="18">
        <v>7.6E-3</v>
      </c>
      <c r="J12" s="18">
        <v>4.7999999999999996E-3</v>
      </c>
      <c r="K12" s="18">
        <v>0</v>
      </c>
      <c r="L12" s="18">
        <v>1.14E-2</v>
      </c>
      <c r="M12" s="18">
        <v>1.2200000000000001E-2</v>
      </c>
      <c r="N12" s="18">
        <v>0</v>
      </c>
    </row>
    <row r="13" spans="1:14" x14ac:dyDescent="0.3">
      <c r="A13" s="17">
        <v>781019</v>
      </c>
      <c r="B13" s="17" t="s">
        <v>56</v>
      </c>
      <c r="C13" s="17" t="s">
        <v>56</v>
      </c>
      <c r="D13" s="17" t="s">
        <v>63</v>
      </c>
      <c r="E13" s="17" t="s">
        <v>64</v>
      </c>
      <c r="F13" s="17">
        <v>3.1699999999999999E-2</v>
      </c>
      <c r="G13" s="26" t="s">
        <v>62</v>
      </c>
      <c r="H13" s="26">
        <v>0.46500000000000002</v>
      </c>
      <c r="I13" s="17">
        <v>6.7000000000000002E-3</v>
      </c>
      <c r="J13" s="17">
        <v>1.0800000000000001E-2</v>
      </c>
      <c r="K13" s="17">
        <v>0.1845</v>
      </c>
      <c r="L13" s="17">
        <v>1.24E-2</v>
      </c>
      <c r="M13" s="17">
        <v>0.14910000000000001</v>
      </c>
      <c r="N13" s="17">
        <v>4.2900000000000001E-2</v>
      </c>
    </row>
    <row r="14" spans="1:14" x14ac:dyDescent="0.3">
      <c r="A14" s="18">
        <v>780988</v>
      </c>
      <c r="B14" s="18" t="s">
        <v>56</v>
      </c>
      <c r="C14" s="18" t="s">
        <v>56</v>
      </c>
      <c r="D14" s="18">
        <v>9838481</v>
      </c>
      <c r="E14" s="18" t="s">
        <v>65</v>
      </c>
      <c r="F14" s="18">
        <v>3.2000000000000002E-3</v>
      </c>
      <c r="G14" s="27" t="s">
        <v>19</v>
      </c>
      <c r="H14" s="27">
        <v>0.27500000000000002</v>
      </c>
      <c r="I14" s="18">
        <v>1.2999999999999999E-3</v>
      </c>
      <c r="J14" s="18">
        <v>1.4E-3</v>
      </c>
      <c r="K14" s="18">
        <v>1.23E-2</v>
      </c>
      <c r="L14" s="18">
        <v>2.3E-3</v>
      </c>
      <c r="M14" s="18">
        <v>5.8999999999999999E-3</v>
      </c>
      <c r="N14" s="18">
        <v>5.5999999999999999E-3</v>
      </c>
    </row>
    <row r="15" spans="1:14" x14ac:dyDescent="0.3">
      <c r="A15" s="17">
        <v>780931</v>
      </c>
      <c r="B15" s="17" t="s">
        <v>56</v>
      </c>
      <c r="C15" s="17" t="s">
        <v>56</v>
      </c>
      <c r="D15" s="17">
        <v>9787712</v>
      </c>
      <c r="E15" s="17" t="s">
        <v>66</v>
      </c>
      <c r="F15" s="17">
        <v>1.6000000000000001E-3</v>
      </c>
      <c r="G15" s="26" t="s">
        <v>19</v>
      </c>
      <c r="H15" s="26">
        <v>0.27500000000000002</v>
      </c>
      <c r="I15" s="17">
        <v>5.9999999999999995E-4</v>
      </c>
      <c r="J15" s="17">
        <v>6.9999999999999999E-4</v>
      </c>
      <c r="K15" s="17">
        <v>6.0000000000000001E-3</v>
      </c>
      <c r="L15" s="17">
        <v>1.1000000000000001E-3</v>
      </c>
      <c r="M15" s="17">
        <v>2.8999999999999998E-3</v>
      </c>
      <c r="N15" s="17">
        <v>2.8E-3</v>
      </c>
    </row>
    <row r="16" spans="1:14" x14ac:dyDescent="0.3">
      <c r="A16" s="18">
        <v>780887</v>
      </c>
      <c r="B16" s="18" t="s">
        <v>56</v>
      </c>
      <c r="C16" s="18" t="s">
        <v>56</v>
      </c>
      <c r="D16" s="18">
        <v>9787712</v>
      </c>
      <c r="E16" s="18" t="s">
        <v>67</v>
      </c>
      <c r="F16" s="18">
        <v>2.41E-2</v>
      </c>
      <c r="G16" s="27" t="s">
        <v>62</v>
      </c>
      <c r="H16" s="27">
        <v>0.46500000000000002</v>
      </c>
      <c r="I16" s="18">
        <v>5.1000000000000004E-3</v>
      </c>
      <c r="J16" s="18">
        <v>8.2000000000000007E-3</v>
      </c>
      <c r="K16" s="18">
        <v>0.14030000000000001</v>
      </c>
      <c r="L16" s="18">
        <v>9.4000000000000004E-3</v>
      </c>
      <c r="M16" s="18">
        <v>0.1134</v>
      </c>
      <c r="N16" s="18">
        <v>3.2599999999999997E-2</v>
      </c>
    </row>
    <row r="17" spans="1:14" x14ac:dyDescent="0.3">
      <c r="A17" s="17">
        <v>780770</v>
      </c>
      <c r="B17" s="17" t="s">
        <v>56</v>
      </c>
      <c r="C17" s="17" t="s">
        <v>56</v>
      </c>
      <c r="D17" s="17" t="s">
        <v>67</v>
      </c>
      <c r="E17" s="17">
        <v>9891951</v>
      </c>
      <c r="F17" s="17">
        <v>1.67E-2</v>
      </c>
      <c r="G17" s="26" t="s">
        <v>62</v>
      </c>
      <c r="H17" s="26">
        <v>0.46500000000000002</v>
      </c>
      <c r="I17" s="17">
        <v>3.5000000000000001E-3</v>
      </c>
      <c r="J17" s="17">
        <v>5.7000000000000002E-3</v>
      </c>
      <c r="K17" s="17">
        <v>9.69E-2</v>
      </c>
      <c r="L17" s="17">
        <v>6.4999999999999997E-3</v>
      </c>
      <c r="M17" s="17">
        <v>7.8299999999999995E-2</v>
      </c>
      <c r="N17" s="17">
        <v>2.2499999999999999E-2</v>
      </c>
    </row>
    <row r="18" spans="1:14" x14ac:dyDescent="0.3">
      <c r="A18" s="18">
        <v>780769</v>
      </c>
      <c r="B18" s="18" t="s">
        <v>56</v>
      </c>
      <c r="C18" s="18" t="s">
        <v>56</v>
      </c>
      <c r="D18" s="18">
        <v>9891951</v>
      </c>
      <c r="E18" s="18" t="s">
        <v>68</v>
      </c>
      <c r="F18" s="18">
        <v>3.4799999999999998E-2</v>
      </c>
      <c r="G18" s="27" t="s">
        <v>62</v>
      </c>
      <c r="H18" s="27">
        <v>0.46500000000000002</v>
      </c>
      <c r="I18" s="18">
        <v>7.4000000000000003E-3</v>
      </c>
      <c r="J18" s="18">
        <v>1.1900000000000001E-2</v>
      </c>
      <c r="K18" s="18">
        <v>0.2026</v>
      </c>
      <c r="L18" s="18">
        <v>1.3599999999999999E-2</v>
      </c>
      <c r="M18" s="18">
        <v>0.1638</v>
      </c>
      <c r="N18" s="18">
        <v>4.7100000000000003E-2</v>
      </c>
    </row>
    <row r="19" spans="1:14" x14ac:dyDescent="0.3">
      <c r="A19" s="17">
        <v>771187</v>
      </c>
      <c r="B19" s="17" t="s">
        <v>56</v>
      </c>
      <c r="C19" s="17" t="s">
        <v>56</v>
      </c>
      <c r="D19" s="17">
        <v>9652787</v>
      </c>
      <c r="E19" s="17" t="s">
        <v>69</v>
      </c>
      <c r="F19" s="17">
        <v>1.14E-2</v>
      </c>
      <c r="G19" s="26" t="s">
        <v>41</v>
      </c>
      <c r="H19" s="26">
        <v>0.155</v>
      </c>
      <c r="I19" s="17">
        <v>7.4999999999999997E-3</v>
      </c>
      <c r="J19" s="17">
        <v>4.8999999999999998E-3</v>
      </c>
      <c r="K19" s="17">
        <v>0</v>
      </c>
      <c r="L19" s="17">
        <v>1.2500000000000001E-2</v>
      </c>
      <c r="M19" s="17">
        <v>4.7000000000000002E-3</v>
      </c>
      <c r="N19" s="17">
        <v>0</v>
      </c>
    </row>
    <row r="20" spans="1:14" x14ac:dyDescent="0.3">
      <c r="A20" s="18">
        <v>771186</v>
      </c>
      <c r="B20" s="18" t="s">
        <v>56</v>
      </c>
      <c r="C20" s="18" t="s">
        <v>56</v>
      </c>
      <c r="D20" s="18">
        <v>9652779</v>
      </c>
      <c r="E20" s="18">
        <v>9652787</v>
      </c>
      <c r="F20" s="18">
        <v>1.1299999999999999E-2</v>
      </c>
      <c r="G20" s="27" t="s">
        <v>41</v>
      </c>
      <c r="H20" s="27">
        <v>0.155</v>
      </c>
      <c r="I20" s="18">
        <v>7.4000000000000003E-3</v>
      </c>
      <c r="J20" s="18">
        <v>4.7999999999999996E-3</v>
      </c>
      <c r="K20" s="18">
        <v>0</v>
      </c>
      <c r="L20" s="18">
        <v>1.23E-2</v>
      </c>
      <c r="M20" s="18">
        <v>4.5999999999999999E-3</v>
      </c>
      <c r="N20" s="18">
        <v>0</v>
      </c>
    </row>
    <row r="21" spans="1:14" x14ac:dyDescent="0.3">
      <c r="A21" s="17">
        <v>771185</v>
      </c>
      <c r="B21" s="17" t="s">
        <v>56</v>
      </c>
      <c r="C21" s="17" t="s">
        <v>56</v>
      </c>
      <c r="D21" s="17" t="s">
        <v>70</v>
      </c>
      <c r="E21" s="17">
        <v>9652779</v>
      </c>
      <c r="F21" s="17">
        <v>1.2E-2</v>
      </c>
      <c r="G21" s="26" t="s">
        <v>41</v>
      </c>
      <c r="H21" s="26">
        <v>0.155</v>
      </c>
      <c r="I21" s="17">
        <v>7.9000000000000008E-3</v>
      </c>
      <c r="J21" s="17">
        <v>5.1000000000000004E-3</v>
      </c>
      <c r="K21" s="17">
        <v>0</v>
      </c>
      <c r="L21" s="17">
        <v>1.3100000000000001E-2</v>
      </c>
      <c r="M21" s="17">
        <v>4.8999999999999998E-3</v>
      </c>
      <c r="N21" s="17">
        <v>0</v>
      </c>
    </row>
    <row r="22" spans="1:14" x14ac:dyDescent="0.3">
      <c r="A22" s="18">
        <v>767711</v>
      </c>
      <c r="B22" s="18" t="s">
        <v>56</v>
      </c>
      <c r="C22" s="18" t="s">
        <v>56</v>
      </c>
      <c r="D22" s="18" t="s">
        <v>71</v>
      </c>
      <c r="E22" s="18">
        <v>7883153</v>
      </c>
      <c r="F22" s="18">
        <v>1.9800000000000002E-2</v>
      </c>
      <c r="G22" s="27" t="s">
        <v>19</v>
      </c>
      <c r="H22" s="27">
        <v>0.27500000000000002</v>
      </c>
      <c r="I22" s="18">
        <v>8.2000000000000007E-3</v>
      </c>
      <c r="J22" s="18">
        <v>8.8999999999999999E-3</v>
      </c>
      <c r="K22" s="18">
        <v>7.6300000000000007E-2</v>
      </c>
      <c r="L22" s="18">
        <v>1.4500000000000001E-2</v>
      </c>
      <c r="M22" s="18">
        <v>3.6900000000000002E-2</v>
      </c>
      <c r="N22" s="18">
        <v>3.5000000000000003E-2</v>
      </c>
    </row>
    <row r="23" spans="1:14" x14ac:dyDescent="0.3">
      <c r="A23" s="17">
        <v>767709</v>
      </c>
      <c r="B23" s="17" t="s">
        <v>56</v>
      </c>
      <c r="C23" s="17" t="s">
        <v>56</v>
      </c>
      <c r="D23" s="17" t="s">
        <v>72</v>
      </c>
      <c r="E23" s="17" t="s">
        <v>71</v>
      </c>
      <c r="F23" s="17">
        <v>1.5299999999999999E-2</v>
      </c>
      <c r="G23" s="26" t="s">
        <v>19</v>
      </c>
      <c r="H23" s="26">
        <v>0.27500000000000002</v>
      </c>
      <c r="I23" s="17">
        <v>6.3E-3</v>
      </c>
      <c r="J23" s="17">
        <v>6.7999999999999996E-3</v>
      </c>
      <c r="K23" s="17">
        <v>5.8700000000000002E-2</v>
      </c>
      <c r="L23" s="17">
        <v>1.11E-2</v>
      </c>
      <c r="M23" s="17">
        <v>2.8400000000000002E-2</v>
      </c>
      <c r="N23" s="17">
        <v>2.69E-2</v>
      </c>
    </row>
    <row r="24" spans="1:14" x14ac:dyDescent="0.3">
      <c r="A24" s="18">
        <v>767705</v>
      </c>
      <c r="B24" s="18" t="s">
        <v>56</v>
      </c>
      <c r="C24" s="18" t="s">
        <v>56</v>
      </c>
      <c r="D24" s="18" t="s">
        <v>73</v>
      </c>
      <c r="E24" s="18" t="s">
        <v>72</v>
      </c>
      <c r="F24" s="18">
        <v>2.06E-2</v>
      </c>
      <c r="G24" s="27" t="s">
        <v>19</v>
      </c>
      <c r="H24" s="27">
        <v>0.27500000000000002</v>
      </c>
      <c r="I24" s="18">
        <v>8.6E-3</v>
      </c>
      <c r="J24" s="18">
        <v>9.1999999999999998E-3</v>
      </c>
      <c r="K24" s="18">
        <v>7.9399999999999998E-2</v>
      </c>
      <c r="L24" s="18">
        <v>1.5100000000000001E-2</v>
      </c>
      <c r="M24" s="18">
        <v>3.8399999999999997E-2</v>
      </c>
      <c r="N24" s="18">
        <v>3.6400000000000002E-2</v>
      </c>
    </row>
    <row r="25" spans="1:14" x14ac:dyDescent="0.3">
      <c r="A25" s="17">
        <v>761462</v>
      </c>
      <c r="B25" s="17" t="s">
        <v>56</v>
      </c>
      <c r="C25" s="17" t="s">
        <v>56</v>
      </c>
      <c r="D25" s="17" t="s">
        <v>74</v>
      </c>
      <c r="E25" s="17" t="s">
        <v>75</v>
      </c>
      <c r="F25" s="17">
        <v>1.9800000000000002E-2</v>
      </c>
      <c r="G25" s="26" t="s">
        <v>43</v>
      </c>
      <c r="H25" s="26">
        <v>0.35499999999999998</v>
      </c>
      <c r="I25" s="17">
        <v>5.1999999999999998E-3</v>
      </c>
      <c r="J25" s="17">
        <v>8.5000000000000006E-3</v>
      </c>
      <c r="K25" s="17">
        <v>7.9500000000000001E-2</v>
      </c>
      <c r="L25" s="17">
        <v>1.14E-2</v>
      </c>
      <c r="M25" s="17">
        <v>3.6499999999999998E-2</v>
      </c>
      <c r="N25" s="17">
        <v>3.56E-2</v>
      </c>
    </row>
    <row r="26" spans="1:14" x14ac:dyDescent="0.3">
      <c r="A26" s="18">
        <v>761460</v>
      </c>
      <c r="B26" s="18" t="s">
        <v>56</v>
      </c>
      <c r="C26" s="18" t="s">
        <v>56</v>
      </c>
      <c r="D26" s="18" t="s">
        <v>76</v>
      </c>
      <c r="E26" s="18" t="s">
        <v>77</v>
      </c>
      <c r="F26" s="18">
        <v>1.32E-2</v>
      </c>
      <c r="G26" s="27" t="s">
        <v>43</v>
      </c>
      <c r="H26" s="27">
        <v>0.35499999999999998</v>
      </c>
      <c r="I26" s="18">
        <v>3.3999999999999998E-3</v>
      </c>
      <c r="J26" s="18">
        <v>5.7000000000000002E-3</v>
      </c>
      <c r="K26" s="18">
        <v>5.2900000000000003E-2</v>
      </c>
      <c r="L26" s="18">
        <v>7.6E-3</v>
      </c>
      <c r="M26" s="18">
        <v>2.4299999999999999E-2</v>
      </c>
      <c r="N26" s="18">
        <v>2.3699999999999999E-2</v>
      </c>
    </row>
    <row r="27" spans="1:14" x14ac:dyDescent="0.3">
      <c r="A27" s="17">
        <v>761458</v>
      </c>
      <c r="B27" s="17" t="s">
        <v>56</v>
      </c>
      <c r="C27" s="17" t="s">
        <v>56</v>
      </c>
      <c r="D27" s="17">
        <v>6814492</v>
      </c>
      <c r="E27" s="17" t="s">
        <v>78</v>
      </c>
      <c r="F27" s="17">
        <v>2.3199999999999998E-2</v>
      </c>
      <c r="G27" s="26" t="s">
        <v>43</v>
      </c>
      <c r="H27" s="26">
        <v>0.35499999999999998</v>
      </c>
      <c r="I27" s="17">
        <v>6.1000000000000004E-3</v>
      </c>
      <c r="J27" s="17">
        <v>0.01</v>
      </c>
      <c r="K27" s="17">
        <v>9.3200000000000005E-2</v>
      </c>
      <c r="L27" s="17">
        <v>1.34E-2</v>
      </c>
      <c r="M27" s="17">
        <v>4.2700000000000002E-2</v>
      </c>
      <c r="N27" s="17">
        <v>4.1700000000000001E-2</v>
      </c>
    </row>
    <row r="28" spans="1:14" x14ac:dyDescent="0.3">
      <c r="A28" s="18">
        <v>761437</v>
      </c>
      <c r="B28" s="18" t="s">
        <v>56</v>
      </c>
      <c r="C28" s="18" t="s">
        <v>56</v>
      </c>
      <c r="D28" s="18" t="s">
        <v>79</v>
      </c>
      <c r="E28" s="18" t="s">
        <v>80</v>
      </c>
      <c r="F28" s="18">
        <v>5.1499999999999997E-2</v>
      </c>
      <c r="G28" s="27" t="s">
        <v>18</v>
      </c>
      <c r="H28" s="27">
        <v>0.24099999999999999</v>
      </c>
      <c r="I28" s="18">
        <v>2.69E-2</v>
      </c>
      <c r="J28" s="18">
        <v>2.35E-2</v>
      </c>
      <c r="K28" s="18">
        <v>0.19389999999999999</v>
      </c>
      <c r="L28" s="18">
        <v>4.3200000000000002E-2</v>
      </c>
      <c r="M28" s="18">
        <v>9.6299999999999997E-2</v>
      </c>
      <c r="N28" s="18">
        <v>8.9899999999999994E-2</v>
      </c>
    </row>
    <row r="29" spans="1:14" x14ac:dyDescent="0.3">
      <c r="A29" s="17">
        <v>761436</v>
      </c>
      <c r="B29" s="17" t="s">
        <v>56</v>
      </c>
      <c r="C29" s="17" t="s">
        <v>56</v>
      </c>
      <c r="D29" s="17" t="s">
        <v>79</v>
      </c>
      <c r="E29" s="17">
        <v>6821081</v>
      </c>
      <c r="F29" s="17">
        <v>4.1399999999999999E-2</v>
      </c>
      <c r="G29" s="26" t="s">
        <v>18</v>
      </c>
      <c r="H29" s="26">
        <v>0.24099999999999999</v>
      </c>
      <c r="I29" s="17">
        <v>2.1600000000000001E-2</v>
      </c>
      <c r="J29" s="17">
        <v>1.89E-2</v>
      </c>
      <c r="K29" s="17">
        <v>0.156</v>
      </c>
      <c r="L29" s="17">
        <v>3.4700000000000002E-2</v>
      </c>
      <c r="M29" s="17">
        <v>7.7499999999999999E-2</v>
      </c>
      <c r="N29" s="17">
        <v>7.2300000000000003E-2</v>
      </c>
    </row>
    <row r="30" spans="1:14" x14ac:dyDescent="0.3">
      <c r="A30" s="18">
        <v>761434</v>
      </c>
      <c r="B30" s="18" t="s">
        <v>56</v>
      </c>
      <c r="C30" s="18" t="s">
        <v>56</v>
      </c>
      <c r="D30" s="18">
        <v>9212523</v>
      </c>
      <c r="E30" s="18" t="s">
        <v>81</v>
      </c>
      <c r="F30" s="18">
        <v>5.7700000000000001E-2</v>
      </c>
      <c r="G30" s="27" t="s">
        <v>43</v>
      </c>
      <c r="H30" s="27">
        <v>0.35499999999999998</v>
      </c>
      <c r="I30" s="18">
        <v>1.5100000000000001E-2</v>
      </c>
      <c r="J30" s="18">
        <v>2.4799999999999999E-2</v>
      </c>
      <c r="K30" s="18">
        <v>0.23180000000000001</v>
      </c>
      <c r="L30" s="18">
        <v>3.3300000000000003E-2</v>
      </c>
      <c r="M30" s="18">
        <v>0.10639999999999999</v>
      </c>
      <c r="N30" s="18">
        <v>0.1038</v>
      </c>
    </row>
    <row r="31" spans="1:14" x14ac:dyDescent="0.3">
      <c r="A31" s="17">
        <v>761433</v>
      </c>
      <c r="B31" s="17" t="s">
        <v>56</v>
      </c>
      <c r="C31" s="17" t="s">
        <v>56</v>
      </c>
      <c r="D31" s="17">
        <v>9212523</v>
      </c>
      <c r="E31" s="17" t="s">
        <v>82</v>
      </c>
      <c r="F31" s="17">
        <v>5.9999999999999995E-4</v>
      </c>
      <c r="G31" s="26" t="s">
        <v>19</v>
      </c>
      <c r="H31" s="26">
        <v>0.27500000000000002</v>
      </c>
      <c r="I31" s="17">
        <v>2.0000000000000001E-4</v>
      </c>
      <c r="J31" s="17">
        <v>2.9999999999999997E-4</v>
      </c>
      <c r="K31" s="17">
        <v>2.3E-3</v>
      </c>
      <c r="L31" s="17">
        <v>4.0000000000000002E-4</v>
      </c>
      <c r="M31" s="17">
        <v>1.1000000000000001E-3</v>
      </c>
      <c r="N31" s="17">
        <v>1E-3</v>
      </c>
    </row>
    <row r="32" spans="1:14" x14ac:dyDescent="0.3">
      <c r="A32" s="18">
        <v>761430</v>
      </c>
      <c r="B32" s="18" t="s">
        <v>56</v>
      </c>
      <c r="C32" s="18" t="s">
        <v>56</v>
      </c>
      <c r="D32" s="18">
        <v>9212531</v>
      </c>
      <c r="E32" s="18">
        <v>9212523</v>
      </c>
      <c r="F32" s="18">
        <v>4.4499999999999998E-2</v>
      </c>
      <c r="G32" s="27" t="s">
        <v>43</v>
      </c>
      <c r="H32" s="27">
        <v>0.35499999999999998</v>
      </c>
      <c r="I32" s="18">
        <v>1.1599999999999999E-2</v>
      </c>
      <c r="J32" s="18">
        <v>1.9099999999999999E-2</v>
      </c>
      <c r="K32" s="18">
        <v>0.1789</v>
      </c>
      <c r="L32" s="18">
        <v>2.5700000000000001E-2</v>
      </c>
      <c r="M32" s="18">
        <v>8.2100000000000006E-2</v>
      </c>
      <c r="N32" s="18">
        <v>8.0100000000000005E-2</v>
      </c>
    </row>
    <row r="33" spans="1:14" x14ac:dyDescent="0.3">
      <c r="A33" s="17">
        <v>761315</v>
      </c>
      <c r="B33" s="17" t="s">
        <v>56</v>
      </c>
      <c r="C33" s="17" t="s">
        <v>56</v>
      </c>
      <c r="D33" s="17" t="s">
        <v>83</v>
      </c>
      <c r="E33" s="17">
        <v>9212531</v>
      </c>
      <c r="F33" s="17">
        <v>5.0000000000000001E-4</v>
      </c>
      <c r="G33" s="26" t="s">
        <v>18</v>
      </c>
      <c r="H33" s="26">
        <v>0.24099999999999999</v>
      </c>
      <c r="I33" s="17">
        <v>2.0000000000000001E-4</v>
      </c>
      <c r="J33" s="17">
        <v>2.0000000000000001E-4</v>
      </c>
      <c r="K33" s="17">
        <v>1.6999999999999999E-3</v>
      </c>
      <c r="L33" s="17">
        <v>4.0000000000000002E-4</v>
      </c>
      <c r="M33" s="17">
        <v>8.9999999999999998E-4</v>
      </c>
      <c r="N33" s="17">
        <v>8.0000000000000004E-4</v>
      </c>
    </row>
    <row r="34" spans="1:14" x14ac:dyDescent="0.3">
      <c r="A34" s="18">
        <v>753649</v>
      </c>
      <c r="B34" s="18" t="s">
        <v>56</v>
      </c>
      <c r="C34" s="18" t="s">
        <v>56</v>
      </c>
      <c r="D34" s="18">
        <v>9154582</v>
      </c>
      <c r="E34" s="18">
        <v>6814531</v>
      </c>
      <c r="F34" s="18">
        <v>2.5999999999999999E-2</v>
      </c>
      <c r="G34" s="27" t="s">
        <v>43</v>
      </c>
      <c r="H34" s="27">
        <v>0.35499999999999998</v>
      </c>
      <c r="I34" s="18">
        <v>6.7999999999999996E-3</v>
      </c>
      <c r="J34" s="18">
        <v>1.12E-2</v>
      </c>
      <c r="K34" s="18">
        <v>0.1046</v>
      </c>
      <c r="L34" s="18">
        <v>1.4999999999999999E-2</v>
      </c>
      <c r="M34" s="18">
        <v>4.8000000000000001E-2</v>
      </c>
      <c r="N34" s="18">
        <v>4.6800000000000001E-2</v>
      </c>
    </row>
    <row r="35" spans="1:14" x14ac:dyDescent="0.3">
      <c r="A35" s="17">
        <v>753648</v>
      </c>
      <c r="B35" s="17" t="s">
        <v>56</v>
      </c>
      <c r="C35" s="17" t="s">
        <v>56</v>
      </c>
      <c r="D35" s="17">
        <v>9154582</v>
      </c>
      <c r="E35" s="17" t="s">
        <v>84</v>
      </c>
      <c r="F35" s="17">
        <v>2.07E-2</v>
      </c>
      <c r="G35" s="26" t="s">
        <v>43</v>
      </c>
      <c r="H35" s="26">
        <v>0.35499999999999998</v>
      </c>
      <c r="I35" s="17">
        <v>5.4000000000000003E-3</v>
      </c>
      <c r="J35" s="17">
        <v>8.8999999999999999E-3</v>
      </c>
      <c r="K35" s="17">
        <v>8.3099999999999993E-2</v>
      </c>
      <c r="L35" s="17">
        <v>1.1900000000000001E-2</v>
      </c>
      <c r="M35" s="17">
        <v>3.8100000000000002E-2</v>
      </c>
      <c r="N35" s="17">
        <v>3.7199999999999997E-2</v>
      </c>
    </row>
    <row r="36" spans="1:14" x14ac:dyDescent="0.3">
      <c r="A36" s="18">
        <v>747014</v>
      </c>
      <c r="B36" s="18" t="s">
        <v>56</v>
      </c>
      <c r="C36" s="18" t="s">
        <v>56</v>
      </c>
      <c r="D36" s="18" t="s">
        <v>84</v>
      </c>
      <c r="E36" s="18">
        <v>6814557</v>
      </c>
      <c r="F36" s="18">
        <v>2.4199999999999999E-2</v>
      </c>
      <c r="G36" s="27" t="s">
        <v>19</v>
      </c>
      <c r="H36" s="27">
        <v>0.27500000000000002</v>
      </c>
      <c r="I36" s="18">
        <v>1.01E-2</v>
      </c>
      <c r="J36" s="18">
        <v>1.09E-2</v>
      </c>
      <c r="K36" s="18">
        <v>9.3299999999999994E-2</v>
      </c>
      <c r="L36" s="18">
        <v>1.77E-2</v>
      </c>
      <c r="M36" s="18">
        <v>4.5100000000000001E-2</v>
      </c>
      <c r="N36" s="18">
        <v>4.2799999999999998E-2</v>
      </c>
    </row>
    <row r="37" spans="1:14" x14ac:dyDescent="0.3">
      <c r="A37" s="17">
        <v>743153</v>
      </c>
      <c r="B37" s="17" t="s">
        <v>56</v>
      </c>
      <c r="C37" s="17" t="s">
        <v>56</v>
      </c>
      <c r="D37" s="17">
        <v>9154582</v>
      </c>
      <c r="E37" s="17" t="s">
        <v>85</v>
      </c>
      <c r="F37" s="17">
        <v>3.2000000000000002E-3</v>
      </c>
      <c r="G37" s="26" t="s">
        <v>19</v>
      </c>
      <c r="H37" s="26">
        <v>0.27500000000000002</v>
      </c>
      <c r="I37" s="17">
        <v>1.2999999999999999E-3</v>
      </c>
      <c r="J37" s="17">
        <v>1.4E-3</v>
      </c>
      <c r="K37" s="17">
        <v>1.23E-2</v>
      </c>
      <c r="L37" s="17">
        <v>2.3E-3</v>
      </c>
      <c r="M37" s="17">
        <v>5.8999999999999999E-3</v>
      </c>
      <c r="N37" s="17">
        <v>5.5999999999999999E-3</v>
      </c>
    </row>
    <row r="38" spans="1:14" x14ac:dyDescent="0.3">
      <c r="A38" s="18">
        <v>740885</v>
      </c>
      <c r="B38" s="18" t="s">
        <v>56</v>
      </c>
      <c r="C38" s="18" t="s">
        <v>56</v>
      </c>
      <c r="D38" s="18">
        <v>8981973</v>
      </c>
      <c r="E38" s="18" t="s">
        <v>86</v>
      </c>
      <c r="F38" s="18">
        <v>3.0999999999999999E-3</v>
      </c>
      <c r="G38" s="27" t="s">
        <v>41</v>
      </c>
      <c r="H38" s="27">
        <v>0.155</v>
      </c>
      <c r="I38" s="18">
        <v>2E-3</v>
      </c>
      <c r="J38" s="18">
        <v>1.2999999999999999E-3</v>
      </c>
      <c r="K38" s="18">
        <v>0</v>
      </c>
      <c r="L38" s="18">
        <v>3.3999999999999998E-3</v>
      </c>
      <c r="M38" s="18">
        <v>1.2999999999999999E-3</v>
      </c>
      <c r="N38" s="18">
        <v>0</v>
      </c>
    </row>
    <row r="39" spans="1:14" x14ac:dyDescent="0.3">
      <c r="A39" s="17">
        <v>740884</v>
      </c>
      <c r="B39" s="17" t="s">
        <v>56</v>
      </c>
      <c r="C39" s="17" t="s">
        <v>56</v>
      </c>
      <c r="D39" s="17" t="s">
        <v>87</v>
      </c>
      <c r="E39" s="17">
        <v>8981973</v>
      </c>
      <c r="F39" s="17">
        <v>1.2E-2</v>
      </c>
      <c r="G39" s="26" t="s">
        <v>41</v>
      </c>
      <c r="H39" s="26">
        <v>0.155</v>
      </c>
      <c r="I39" s="17">
        <v>7.9000000000000008E-3</v>
      </c>
      <c r="J39" s="17">
        <v>5.1000000000000004E-3</v>
      </c>
      <c r="K39" s="17">
        <v>0</v>
      </c>
      <c r="L39" s="17">
        <v>1.3100000000000001E-2</v>
      </c>
      <c r="M39" s="17">
        <v>4.8999999999999998E-3</v>
      </c>
      <c r="N39" s="17">
        <v>0</v>
      </c>
    </row>
    <row r="40" spans="1:14" x14ac:dyDescent="0.3">
      <c r="A40" s="18">
        <v>722426</v>
      </c>
      <c r="B40" s="18" t="s">
        <v>56</v>
      </c>
      <c r="C40" s="18" t="s">
        <v>56</v>
      </c>
      <c r="D40" s="18">
        <v>6894399</v>
      </c>
      <c r="E40" s="18" t="s">
        <v>88</v>
      </c>
      <c r="F40" s="18">
        <v>4.1999999999999997E-3</v>
      </c>
      <c r="G40" s="27" t="s">
        <v>41</v>
      </c>
      <c r="H40" s="27">
        <v>0.155</v>
      </c>
      <c r="I40" s="18">
        <v>2.7000000000000001E-3</v>
      </c>
      <c r="J40" s="18">
        <v>1.8E-3</v>
      </c>
      <c r="K40" s="18">
        <v>0</v>
      </c>
      <c r="L40" s="18">
        <v>4.5999999999999999E-3</v>
      </c>
      <c r="M40" s="18">
        <v>1.6999999999999999E-3</v>
      </c>
      <c r="N40" s="18">
        <v>0</v>
      </c>
    </row>
    <row r="41" spans="1:14" x14ac:dyDescent="0.3">
      <c r="A41" s="17">
        <v>722425</v>
      </c>
      <c r="B41" s="17" t="s">
        <v>56</v>
      </c>
      <c r="C41" s="17" t="s">
        <v>56</v>
      </c>
      <c r="D41" s="17" t="s">
        <v>89</v>
      </c>
      <c r="E41" s="17">
        <v>6894399</v>
      </c>
      <c r="F41" s="17">
        <v>1.2E-2</v>
      </c>
      <c r="G41" s="26" t="s">
        <v>41</v>
      </c>
      <c r="H41" s="26">
        <v>0.155</v>
      </c>
      <c r="I41" s="17">
        <v>7.9000000000000008E-3</v>
      </c>
      <c r="J41" s="17">
        <v>5.1000000000000004E-3</v>
      </c>
      <c r="K41" s="17">
        <v>0</v>
      </c>
      <c r="L41" s="17">
        <v>1.3100000000000001E-2</v>
      </c>
      <c r="M41" s="17">
        <v>4.8999999999999998E-3</v>
      </c>
      <c r="N41" s="17">
        <v>0</v>
      </c>
    </row>
    <row r="42" spans="1:14" x14ac:dyDescent="0.3">
      <c r="A42" s="18">
        <v>722424</v>
      </c>
      <c r="B42" s="18" t="s">
        <v>56</v>
      </c>
      <c r="C42" s="18" t="s">
        <v>56</v>
      </c>
      <c r="D42" s="18" t="s">
        <v>90</v>
      </c>
      <c r="E42" s="18" t="s">
        <v>91</v>
      </c>
      <c r="F42" s="18">
        <v>1.3299999999999999E-2</v>
      </c>
      <c r="G42" s="27" t="s">
        <v>19</v>
      </c>
      <c r="H42" s="27">
        <v>0.27500000000000002</v>
      </c>
      <c r="I42" s="18">
        <v>5.4999999999999997E-3</v>
      </c>
      <c r="J42" s="18">
        <v>6.0000000000000001E-3</v>
      </c>
      <c r="K42" s="18">
        <v>5.1299999999999998E-2</v>
      </c>
      <c r="L42" s="18">
        <v>9.7000000000000003E-3</v>
      </c>
      <c r="M42" s="18">
        <v>2.4799999999999999E-2</v>
      </c>
      <c r="N42" s="18">
        <v>2.35E-2</v>
      </c>
    </row>
    <row r="43" spans="1:14" x14ac:dyDescent="0.3">
      <c r="A43" s="17">
        <v>720954</v>
      </c>
      <c r="B43" s="17" t="s">
        <v>56</v>
      </c>
      <c r="C43" s="17" t="s">
        <v>56</v>
      </c>
      <c r="D43" s="17">
        <v>7314604</v>
      </c>
      <c r="E43" s="17" t="s">
        <v>92</v>
      </c>
      <c r="F43" s="17">
        <v>3.27E-2</v>
      </c>
      <c r="G43" s="26" t="s">
        <v>41</v>
      </c>
      <c r="H43" s="26">
        <v>0.155</v>
      </c>
      <c r="I43" s="17">
        <v>2.1499999999999998E-2</v>
      </c>
      <c r="J43" s="17">
        <v>1.4E-2</v>
      </c>
      <c r="K43" s="17">
        <v>0</v>
      </c>
      <c r="L43" s="17">
        <v>3.5900000000000001E-2</v>
      </c>
      <c r="M43" s="17">
        <v>1.34E-2</v>
      </c>
      <c r="N43" s="17">
        <v>0</v>
      </c>
    </row>
    <row r="44" spans="1:14" x14ac:dyDescent="0.3">
      <c r="A44" s="18">
        <v>720953</v>
      </c>
      <c r="B44" s="18" t="s">
        <v>56</v>
      </c>
      <c r="C44" s="18" t="s">
        <v>56</v>
      </c>
      <c r="D44" s="18" t="s">
        <v>93</v>
      </c>
      <c r="E44" s="18">
        <v>7314604</v>
      </c>
      <c r="F44" s="18">
        <v>1.2E-2</v>
      </c>
      <c r="G44" s="27" t="s">
        <v>41</v>
      </c>
      <c r="H44" s="27">
        <v>0.155</v>
      </c>
      <c r="I44" s="18">
        <v>7.9000000000000008E-3</v>
      </c>
      <c r="J44" s="18">
        <v>5.1000000000000004E-3</v>
      </c>
      <c r="K44" s="18">
        <v>0</v>
      </c>
      <c r="L44" s="18">
        <v>1.3100000000000001E-2</v>
      </c>
      <c r="M44" s="18">
        <v>4.8999999999999998E-3</v>
      </c>
      <c r="N44" s="18">
        <v>0</v>
      </c>
    </row>
    <row r="45" spans="1:14" x14ac:dyDescent="0.3">
      <c r="A45" s="17">
        <v>720328</v>
      </c>
      <c r="B45" s="17" t="s">
        <v>56</v>
      </c>
      <c r="C45" s="17" t="s">
        <v>56</v>
      </c>
      <c r="D45" s="17">
        <v>5580579</v>
      </c>
      <c r="E45" s="17" t="s">
        <v>94</v>
      </c>
      <c r="F45" s="17">
        <v>5.4999999999999997E-3</v>
      </c>
      <c r="G45" s="26" t="s">
        <v>53</v>
      </c>
      <c r="H45" s="26">
        <v>0.2</v>
      </c>
      <c r="I45" s="17">
        <v>2.3E-3</v>
      </c>
      <c r="J45" s="17">
        <v>8.9999999999999998E-4</v>
      </c>
      <c r="K45" s="17">
        <v>0</v>
      </c>
      <c r="L45" s="17">
        <v>3.7000000000000002E-3</v>
      </c>
      <c r="M45" s="17">
        <v>2.3E-3</v>
      </c>
      <c r="N45" s="17">
        <v>0</v>
      </c>
    </row>
    <row r="46" spans="1:14" x14ac:dyDescent="0.3">
      <c r="A46" s="18">
        <v>720327</v>
      </c>
      <c r="B46" s="18" t="s">
        <v>56</v>
      </c>
      <c r="C46" s="18" t="s">
        <v>56</v>
      </c>
      <c r="D46" s="18">
        <v>5580561</v>
      </c>
      <c r="E46" s="18">
        <v>5580579</v>
      </c>
      <c r="F46" s="18">
        <v>6.0000000000000001E-3</v>
      </c>
      <c r="G46" s="27" t="s">
        <v>53</v>
      </c>
      <c r="H46" s="27">
        <v>0.2</v>
      </c>
      <c r="I46" s="18">
        <v>2.5000000000000001E-3</v>
      </c>
      <c r="J46" s="18">
        <v>1E-3</v>
      </c>
      <c r="K46" s="18">
        <v>0</v>
      </c>
      <c r="L46" s="18">
        <v>4.0000000000000001E-3</v>
      </c>
      <c r="M46" s="18">
        <v>2.5000000000000001E-3</v>
      </c>
      <c r="N46" s="18">
        <v>0</v>
      </c>
    </row>
    <row r="47" spans="1:14" x14ac:dyDescent="0.3">
      <c r="A47" s="17">
        <v>720326</v>
      </c>
      <c r="B47" s="17" t="s">
        <v>56</v>
      </c>
      <c r="C47" s="17" t="s">
        <v>56</v>
      </c>
      <c r="D47" s="17">
        <v>5580552</v>
      </c>
      <c r="E47" s="17">
        <v>5580561</v>
      </c>
      <c r="F47" s="17">
        <v>1.55E-2</v>
      </c>
      <c r="G47" s="26" t="s">
        <v>53</v>
      </c>
      <c r="H47" s="26">
        <v>0.2</v>
      </c>
      <c r="I47" s="17">
        <v>6.4999999999999997E-3</v>
      </c>
      <c r="J47" s="17">
        <v>2.5000000000000001E-3</v>
      </c>
      <c r="K47" s="17">
        <v>0</v>
      </c>
      <c r="L47" s="17">
        <v>1.03E-2</v>
      </c>
      <c r="M47" s="17">
        <v>6.3E-3</v>
      </c>
      <c r="N47" s="17">
        <v>0</v>
      </c>
    </row>
    <row r="48" spans="1:14" x14ac:dyDescent="0.3">
      <c r="A48" s="18">
        <v>720246</v>
      </c>
      <c r="B48" s="18" t="s">
        <v>56</v>
      </c>
      <c r="C48" s="18" t="s">
        <v>56</v>
      </c>
      <c r="D48" s="18" t="s">
        <v>95</v>
      </c>
      <c r="E48" s="18" t="s">
        <v>96</v>
      </c>
      <c r="F48" s="18">
        <v>4.0099999999999997E-2</v>
      </c>
      <c r="G48" s="27" t="s">
        <v>19</v>
      </c>
      <c r="H48" s="27">
        <v>0.27500000000000002</v>
      </c>
      <c r="I48" s="18">
        <v>1.66E-2</v>
      </c>
      <c r="J48" s="18">
        <v>1.7899999999999999E-2</v>
      </c>
      <c r="K48" s="18">
        <v>0.1542</v>
      </c>
      <c r="L48" s="18">
        <v>2.93E-2</v>
      </c>
      <c r="M48" s="18">
        <v>7.46E-2</v>
      </c>
      <c r="N48" s="18">
        <v>7.0699999999999999E-2</v>
      </c>
    </row>
    <row r="49" spans="1:14" x14ac:dyDescent="0.3">
      <c r="A49" s="17">
        <v>720243</v>
      </c>
      <c r="B49" s="17" t="s">
        <v>56</v>
      </c>
      <c r="C49" s="17" t="s">
        <v>56</v>
      </c>
      <c r="D49" s="17" t="s">
        <v>90</v>
      </c>
      <c r="E49" s="17">
        <v>7833253</v>
      </c>
      <c r="F49" s="17">
        <v>1.7999999999999999E-2</v>
      </c>
      <c r="G49" s="26" t="s">
        <v>19</v>
      </c>
      <c r="H49" s="26">
        <v>0.27500000000000002</v>
      </c>
      <c r="I49" s="17">
        <v>7.4999999999999997E-3</v>
      </c>
      <c r="J49" s="17">
        <v>8.0999999999999996E-3</v>
      </c>
      <c r="K49" s="17">
        <v>6.93E-2</v>
      </c>
      <c r="L49" s="17">
        <v>1.32E-2</v>
      </c>
      <c r="M49" s="17">
        <v>3.3500000000000002E-2</v>
      </c>
      <c r="N49" s="17">
        <v>3.1800000000000002E-2</v>
      </c>
    </row>
    <row r="50" spans="1:14" x14ac:dyDescent="0.3">
      <c r="A50" s="18">
        <v>720229</v>
      </c>
      <c r="B50" s="18" t="s">
        <v>56</v>
      </c>
      <c r="C50" s="18" t="s">
        <v>56</v>
      </c>
      <c r="D50" s="18" t="s">
        <v>97</v>
      </c>
      <c r="E50" s="18" t="s">
        <v>98</v>
      </c>
      <c r="F50" s="18">
        <v>3.2000000000000002E-3</v>
      </c>
      <c r="G50" s="27" t="s">
        <v>19</v>
      </c>
      <c r="H50" s="27">
        <v>0.27500000000000002</v>
      </c>
      <c r="I50" s="18">
        <v>1.2999999999999999E-3</v>
      </c>
      <c r="J50" s="18">
        <v>1.4E-3</v>
      </c>
      <c r="K50" s="18">
        <v>1.24E-2</v>
      </c>
      <c r="L50" s="18">
        <v>2.3999999999999998E-3</v>
      </c>
      <c r="M50" s="18">
        <v>6.0000000000000001E-3</v>
      </c>
      <c r="N50" s="18">
        <v>5.7000000000000002E-3</v>
      </c>
    </row>
    <row r="51" spans="1:14" x14ac:dyDescent="0.3">
      <c r="A51" s="17">
        <v>720217</v>
      </c>
      <c r="B51" s="17" t="s">
        <v>56</v>
      </c>
      <c r="C51" s="17" t="s">
        <v>56</v>
      </c>
      <c r="D51" s="17">
        <v>1192396</v>
      </c>
      <c r="E51" s="17" t="s">
        <v>99</v>
      </c>
      <c r="F51" s="17">
        <v>3.8999999999999998E-3</v>
      </c>
      <c r="G51" s="26" t="s">
        <v>41</v>
      </c>
      <c r="H51" s="26">
        <v>0.155</v>
      </c>
      <c r="I51" s="17">
        <v>2.5000000000000001E-3</v>
      </c>
      <c r="J51" s="17">
        <v>1.6999999999999999E-3</v>
      </c>
      <c r="K51" s="17">
        <v>0</v>
      </c>
      <c r="L51" s="17">
        <v>4.1999999999999997E-3</v>
      </c>
      <c r="M51" s="17">
        <v>1.6000000000000001E-3</v>
      </c>
      <c r="N51" s="17">
        <v>0</v>
      </c>
    </row>
    <row r="52" spans="1:14" x14ac:dyDescent="0.3">
      <c r="A52" s="18">
        <v>720216</v>
      </c>
      <c r="B52" s="18" t="s">
        <v>56</v>
      </c>
      <c r="C52" s="18" t="s">
        <v>56</v>
      </c>
      <c r="D52" s="18">
        <v>1192469</v>
      </c>
      <c r="E52" s="18">
        <v>1192396</v>
      </c>
      <c r="F52" s="18">
        <v>3.0000000000000001E-3</v>
      </c>
      <c r="G52" s="27" t="s">
        <v>41</v>
      </c>
      <c r="H52" s="27">
        <v>0.155</v>
      </c>
      <c r="I52" s="18">
        <v>2E-3</v>
      </c>
      <c r="J52" s="18">
        <v>1.2999999999999999E-3</v>
      </c>
      <c r="K52" s="18">
        <v>0</v>
      </c>
      <c r="L52" s="18">
        <v>3.3E-3</v>
      </c>
      <c r="M52" s="18">
        <v>1.1999999999999999E-3</v>
      </c>
      <c r="N52" s="18">
        <v>0</v>
      </c>
    </row>
    <row r="53" spans="1:14" x14ac:dyDescent="0.3">
      <c r="A53" s="17">
        <v>720215</v>
      </c>
      <c r="B53" s="17" t="s">
        <v>56</v>
      </c>
      <c r="C53" s="17" t="s">
        <v>56</v>
      </c>
      <c r="D53" s="17">
        <v>1192566</v>
      </c>
      <c r="E53" s="17">
        <v>1192469</v>
      </c>
      <c r="F53" s="17">
        <v>8.3000000000000001E-3</v>
      </c>
      <c r="G53" s="26" t="s">
        <v>41</v>
      </c>
      <c r="H53" s="26">
        <v>0.155</v>
      </c>
      <c r="I53" s="17">
        <v>5.4000000000000003E-3</v>
      </c>
      <c r="J53" s="17">
        <v>3.5000000000000001E-3</v>
      </c>
      <c r="K53" s="17">
        <v>0</v>
      </c>
      <c r="L53" s="17">
        <v>9.1000000000000004E-3</v>
      </c>
      <c r="M53" s="17">
        <v>3.3999999999999998E-3</v>
      </c>
      <c r="N53" s="17">
        <v>0</v>
      </c>
    </row>
    <row r="54" spans="1:14" x14ac:dyDescent="0.3">
      <c r="A54" s="18">
        <v>720214</v>
      </c>
      <c r="B54" s="18" t="s">
        <v>56</v>
      </c>
      <c r="C54" s="18" t="s">
        <v>56</v>
      </c>
      <c r="D54" s="18" t="s">
        <v>100</v>
      </c>
      <c r="E54" s="18">
        <v>1192566</v>
      </c>
      <c r="F54" s="18">
        <v>1.2E-2</v>
      </c>
      <c r="G54" s="27" t="s">
        <v>41</v>
      </c>
      <c r="H54" s="27">
        <v>0.155</v>
      </c>
      <c r="I54" s="18">
        <v>7.9000000000000008E-3</v>
      </c>
      <c r="J54" s="18">
        <v>5.1000000000000004E-3</v>
      </c>
      <c r="K54" s="18">
        <v>0</v>
      </c>
      <c r="L54" s="18">
        <v>1.3100000000000001E-2</v>
      </c>
      <c r="M54" s="18">
        <v>4.8999999999999998E-3</v>
      </c>
      <c r="N54" s="18">
        <v>0</v>
      </c>
    </row>
    <row r="55" spans="1:14" x14ac:dyDescent="0.3">
      <c r="A55" s="17">
        <v>720207</v>
      </c>
      <c r="B55" s="17" t="s">
        <v>56</v>
      </c>
      <c r="C55" s="17" t="s">
        <v>56</v>
      </c>
      <c r="D55" s="17" t="s">
        <v>101</v>
      </c>
      <c r="E55" s="17" t="s">
        <v>102</v>
      </c>
      <c r="F55" s="17">
        <v>2.3E-2</v>
      </c>
      <c r="G55" s="26" t="s">
        <v>19</v>
      </c>
      <c r="H55" s="26">
        <v>0.27500000000000002</v>
      </c>
      <c r="I55" s="17">
        <v>9.4999999999999998E-3</v>
      </c>
      <c r="J55" s="17">
        <v>1.03E-2</v>
      </c>
      <c r="K55" s="17">
        <v>8.8499999999999995E-2</v>
      </c>
      <c r="L55" s="17">
        <v>1.6799999999999999E-2</v>
      </c>
      <c r="M55" s="17">
        <v>4.2799999999999998E-2</v>
      </c>
      <c r="N55" s="17">
        <v>4.0599999999999997E-2</v>
      </c>
    </row>
    <row r="56" spans="1:14" x14ac:dyDescent="0.3">
      <c r="A56" s="18">
        <v>720206</v>
      </c>
      <c r="B56" s="18" t="s">
        <v>56</v>
      </c>
      <c r="C56" s="18" t="s">
        <v>56</v>
      </c>
      <c r="D56" s="18" t="s">
        <v>103</v>
      </c>
      <c r="E56" s="18" t="s">
        <v>101</v>
      </c>
      <c r="F56" s="18">
        <v>3.78E-2</v>
      </c>
      <c r="G56" s="27" t="s">
        <v>19</v>
      </c>
      <c r="H56" s="27">
        <v>0.27500000000000002</v>
      </c>
      <c r="I56" s="18">
        <v>1.5699999999999999E-2</v>
      </c>
      <c r="J56" s="18">
        <v>1.6899999999999998E-2</v>
      </c>
      <c r="K56" s="18">
        <v>0.14549999999999999</v>
      </c>
      <c r="L56" s="18">
        <v>2.76E-2</v>
      </c>
      <c r="M56" s="18">
        <v>7.0400000000000004E-2</v>
      </c>
      <c r="N56" s="18">
        <v>6.6699999999999995E-2</v>
      </c>
    </row>
    <row r="57" spans="1:14" x14ac:dyDescent="0.3">
      <c r="A57" s="17">
        <v>720181</v>
      </c>
      <c r="B57" s="17" t="s">
        <v>56</v>
      </c>
      <c r="C57" s="17" t="s">
        <v>56</v>
      </c>
      <c r="D57" s="17" t="s">
        <v>104</v>
      </c>
      <c r="E57" s="17" t="s">
        <v>105</v>
      </c>
      <c r="F57" s="17">
        <v>2.2599999999999999E-2</v>
      </c>
      <c r="G57" s="26" t="s">
        <v>19</v>
      </c>
      <c r="H57" s="26">
        <v>0.27500000000000002</v>
      </c>
      <c r="I57" s="17">
        <v>9.4000000000000004E-3</v>
      </c>
      <c r="J57" s="17">
        <v>1.01E-2</v>
      </c>
      <c r="K57" s="17">
        <v>8.6900000000000005E-2</v>
      </c>
      <c r="L57" s="17">
        <v>1.6500000000000001E-2</v>
      </c>
      <c r="M57" s="17">
        <v>4.2000000000000003E-2</v>
      </c>
      <c r="N57" s="17">
        <v>3.9800000000000002E-2</v>
      </c>
    </row>
    <row r="58" spans="1:14" x14ac:dyDescent="0.3">
      <c r="A58" s="18">
        <v>720180</v>
      </c>
      <c r="B58" s="18" t="s">
        <v>56</v>
      </c>
      <c r="C58" s="18" t="s">
        <v>56</v>
      </c>
      <c r="D58" s="18" t="s">
        <v>80</v>
      </c>
      <c r="E58" s="18" t="s">
        <v>104</v>
      </c>
      <c r="F58" s="18">
        <v>2.9600000000000001E-2</v>
      </c>
      <c r="G58" s="27" t="s">
        <v>19</v>
      </c>
      <c r="H58" s="27">
        <v>0.27500000000000002</v>
      </c>
      <c r="I58" s="18">
        <v>1.23E-2</v>
      </c>
      <c r="J58" s="18">
        <v>1.3299999999999999E-2</v>
      </c>
      <c r="K58" s="18">
        <v>0.114</v>
      </c>
      <c r="L58" s="18">
        <v>2.1600000000000001E-2</v>
      </c>
      <c r="M58" s="18">
        <v>5.5199999999999999E-2</v>
      </c>
      <c r="N58" s="18">
        <v>5.2299999999999999E-2</v>
      </c>
    </row>
    <row r="59" spans="1:14" x14ac:dyDescent="0.3">
      <c r="A59" s="17">
        <v>720178</v>
      </c>
      <c r="B59" s="17" t="s">
        <v>56</v>
      </c>
      <c r="C59" s="17" t="s">
        <v>56</v>
      </c>
      <c r="D59" s="17">
        <v>5580544</v>
      </c>
      <c r="E59" s="17">
        <v>5580552</v>
      </c>
      <c r="F59" s="17">
        <v>1.3599999999999999E-2</v>
      </c>
      <c r="G59" s="26" t="s">
        <v>53</v>
      </c>
      <c r="H59" s="26">
        <v>0.2</v>
      </c>
      <c r="I59" s="17">
        <v>5.7000000000000002E-3</v>
      </c>
      <c r="J59" s="17">
        <v>2.2000000000000001E-3</v>
      </c>
      <c r="K59" s="17">
        <v>0</v>
      </c>
      <c r="L59" s="17">
        <v>8.9999999999999993E-3</v>
      </c>
      <c r="M59" s="17">
        <v>5.4999999999999997E-3</v>
      </c>
      <c r="N59" s="17">
        <v>0</v>
      </c>
    </row>
    <row r="60" spans="1:14" x14ac:dyDescent="0.3">
      <c r="A60" s="18">
        <v>720177</v>
      </c>
      <c r="B60" s="18" t="s">
        <v>56</v>
      </c>
      <c r="C60" s="18" t="s">
        <v>56</v>
      </c>
      <c r="D60" s="18" t="s">
        <v>106</v>
      </c>
      <c r="E60" s="18">
        <v>5580544</v>
      </c>
      <c r="F60" s="18">
        <v>1.2E-2</v>
      </c>
      <c r="G60" s="27" t="s">
        <v>53</v>
      </c>
      <c r="H60" s="27">
        <v>0.2</v>
      </c>
      <c r="I60" s="18">
        <v>5.0000000000000001E-3</v>
      </c>
      <c r="J60" s="18">
        <v>1.9E-3</v>
      </c>
      <c r="K60" s="18">
        <v>0</v>
      </c>
      <c r="L60" s="18">
        <v>8.0000000000000002E-3</v>
      </c>
      <c r="M60" s="18">
        <v>4.8999999999999998E-3</v>
      </c>
      <c r="N60" s="18">
        <v>0</v>
      </c>
    </row>
    <row r="61" spans="1:14" x14ac:dyDescent="0.3">
      <c r="A61" s="17">
        <v>720157</v>
      </c>
      <c r="B61" s="17" t="s">
        <v>56</v>
      </c>
      <c r="C61" s="17" t="s">
        <v>56</v>
      </c>
      <c r="D61" s="17">
        <v>9838481</v>
      </c>
      <c r="E61" s="17" t="s">
        <v>107</v>
      </c>
      <c r="F61" s="17">
        <v>3.0800000000000001E-2</v>
      </c>
      <c r="G61" s="26" t="s">
        <v>62</v>
      </c>
      <c r="H61" s="26">
        <v>0.46500000000000002</v>
      </c>
      <c r="I61" s="17">
        <v>6.4999999999999997E-3</v>
      </c>
      <c r="J61" s="17">
        <v>1.0500000000000001E-2</v>
      </c>
      <c r="K61" s="17">
        <v>0.17899999999999999</v>
      </c>
      <c r="L61" s="17">
        <v>1.2E-2</v>
      </c>
      <c r="M61" s="17">
        <v>0.1447</v>
      </c>
      <c r="N61" s="17">
        <v>4.1599999999999998E-2</v>
      </c>
    </row>
    <row r="62" spans="1:14" x14ac:dyDescent="0.3">
      <c r="A62" s="18">
        <v>720155</v>
      </c>
      <c r="B62" s="18" t="s">
        <v>56</v>
      </c>
      <c r="C62" s="18" t="s">
        <v>56</v>
      </c>
      <c r="D62" s="18">
        <v>6894372</v>
      </c>
      <c r="E62" s="18" t="s">
        <v>108</v>
      </c>
      <c r="F62" s="18">
        <v>2E-3</v>
      </c>
      <c r="G62" s="27" t="s">
        <v>19</v>
      </c>
      <c r="H62" s="27">
        <v>0.27500000000000002</v>
      </c>
      <c r="I62" s="18">
        <v>8.0000000000000004E-4</v>
      </c>
      <c r="J62" s="18">
        <v>8.9999999999999998E-4</v>
      </c>
      <c r="K62" s="18">
        <v>7.7999999999999996E-3</v>
      </c>
      <c r="L62" s="18">
        <v>1.5E-3</v>
      </c>
      <c r="M62" s="18">
        <v>3.8E-3</v>
      </c>
      <c r="N62" s="18">
        <v>3.5999999999999999E-3</v>
      </c>
    </row>
    <row r="63" spans="1:14" x14ac:dyDescent="0.3">
      <c r="A63" s="17">
        <v>720154</v>
      </c>
      <c r="B63" s="17" t="s">
        <v>56</v>
      </c>
      <c r="C63" s="17" t="s">
        <v>56</v>
      </c>
      <c r="D63" s="17" t="s">
        <v>109</v>
      </c>
      <c r="E63" s="17">
        <v>6894372</v>
      </c>
      <c r="F63" s="17">
        <v>1.0999999999999999E-2</v>
      </c>
      <c r="G63" s="26" t="s">
        <v>19</v>
      </c>
      <c r="H63" s="26">
        <v>0.27500000000000002</v>
      </c>
      <c r="I63" s="17">
        <v>4.5999999999999999E-3</v>
      </c>
      <c r="J63" s="17">
        <v>4.8999999999999998E-3</v>
      </c>
      <c r="K63" s="17">
        <v>4.2200000000000001E-2</v>
      </c>
      <c r="L63" s="17">
        <v>8.0000000000000002E-3</v>
      </c>
      <c r="M63" s="17">
        <v>2.0400000000000001E-2</v>
      </c>
      <c r="N63" s="17">
        <v>1.9400000000000001E-2</v>
      </c>
    </row>
    <row r="64" spans="1:14" x14ac:dyDescent="0.3">
      <c r="A64" s="18">
        <v>720153</v>
      </c>
      <c r="B64" s="18" t="s">
        <v>56</v>
      </c>
      <c r="C64" s="18" t="s">
        <v>56</v>
      </c>
      <c r="D64" s="18">
        <v>6894372</v>
      </c>
      <c r="E64" s="18">
        <v>9838481</v>
      </c>
      <c r="F64" s="18">
        <v>8.2000000000000007E-3</v>
      </c>
      <c r="G64" s="27" t="s">
        <v>62</v>
      </c>
      <c r="H64" s="27">
        <v>0.46500000000000002</v>
      </c>
      <c r="I64" s="18">
        <v>1.6999999999999999E-3</v>
      </c>
      <c r="J64" s="18">
        <v>2.8E-3</v>
      </c>
      <c r="K64" s="18">
        <v>4.7399999999999998E-2</v>
      </c>
      <c r="L64" s="18">
        <v>3.2000000000000002E-3</v>
      </c>
      <c r="M64" s="18">
        <v>3.8300000000000001E-2</v>
      </c>
      <c r="N64" s="18">
        <v>1.0999999999999999E-2</v>
      </c>
    </row>
    <row r="65" spans="1:14" x14ac:dyDescent="0.3">
      <c r="A65" s="17">
        <v>720152</v>
      </c>
      <c r="B65" s="17" t="s">
        <v>56</v>
      </c>
      <c r="C65" s="17" t="s">
        <v>56</v>
      </c>
      <c r="D65" s="17">
        <v>9787704</v>
      </c>
      <c r="E65" s="17">
        <v>6894372</v>
      </c>
      <c r="F65" s="17">
        <v>4.2200000000000001E-2</v>
      </c>
      <c r="G65" s="26" t="s">
        <v>62</v>
      </c>
      <c r="H65" s="26">
        <v>0.46500000000000002</v>
      </c>
      <c r="I65" s="17">
        <v>8.9999999999999993E-3</v>
      </c>
      <c r="J65" s="17">
        <v>1.44E-2</v>
      </c>
      <c r="K65" s="17">
        <v>0.2455</v>
      </c>
      <c r="L65" s="17">
        <v>1.6500000000000001E-2</v>
      </c>
      <c r="M65" s="17">
        <v>0.19850000000000001</v>
      </c>
      <c r="N65" s="17">
        <v>5.7099999999999998E-2</v>
      </c>
    </row>
    <row r="66" spans="1:14" x14ac:dyDescent="0.3">
      <c r="A66" s="18">
        <v>720148</v>
      </c>
      <c r="B66" s="18" t="s">
        <v>56</v>
      </c>
      <c r="C66" s="18" t="s">
        <v>56</v>
      </c>
      <c r="D66" s="18" t="s">
        <v>110</v>
      </c>
      <c r="E66" s="18" t="s">
        <v>111</v>
      </c>
      <c r="F66" s="18">
        <v>2.0799999999999999E-2</v>
      </c>
      <c r="G66" s="27" t="s">
        <v>18</v>
      </c>
      <c r="H66" s="27">
        <v>0.24099999999999999</v>
      </c>
      <c r="I66" s="18">
        <v>1.09E-2</v>
      </c>
      <c r="J66" s="18">
        <v>9.4999999999999998E-3</v>
      </c>
      <c r="K66" s="18">
        <v>7.85E-2</v>
      </c>
      <c r="L66" s="18">
        <v>1.7500000000000002E-2</v>
      </c>
      <c r="M66" s="18">
        <v>3.9E-2</v>
      </c>
      <c r="N66" s="18">
        <v>3.6400000000000002E-2</v>
      </c>
    </row>
    <row r="67" spans="1:14" x14ac:dyDescent="0.3">
      <c r="A67" s="17">
        <v>719467</v>
      </c>
      <c r="B67" s="17" t="s">
        <v>56</v>
      </c>
      <c r="C67" s="17" t="s">
        <v>56</v>
      </c>
      <c r="D67" s="17">
        <v>6840957</v>
      </c>
      <c r="E67" s="17" t="s">
        <v>112</v>
      </c>
      <c r="F67" s="17">
        <v>2.2700000000000001E-2</v>
      </c>
      <c r="G67" s="26" t="s">
        <v>19</v>
      </c>
      <c r="H67" s="26">
        <v>0.27500000000000002</v>
      </c>
      <c r="I67" s="17">
        <v>9.4000000000000004E-3</v>
      </c>
      <c r="J67" s="17">
        <v>1.0200000000000001E-2</v>
      </c>
      <c r="K67" s="17">
        <v>8.7499999999999994E-2</v>
      </c>
      <c r="L67" s="17">
        <v>1.66E-2</v>
      </c>
      <c r="M67" s="17">
        <v>4.2299999999999997E-2</v>
      </c>
      <c r="N67" s="17">
        <v>4.0099999999999997E-2</v>
      </c>
    </row>
    <row r="68" spans="1:14" x14ac:dyDescent="0.3">
      <c r="A68" s="18">
        <v>719466</v>
      </c>
      <c r="B68" s="18" t="s">
        <v>56</v>
      </c>
      <c r="C68" s="18" t="s">
        <v>56</v>
      </c>
      <c r="D68" s="18" t="s">
        <v>113</v>
      </c>
      <c r="E68" s="18">
        <v>6840957</v>
      </c>
      <c r="F68" s="18">
        <v>1.55E-2</v>
      </c>
      <c r="G68" s="27" t="s">
        <v>19</v>
      </c>
      <c r="H68" s="27">
        <v>0.27500000000000002</v>
      </c>
      <c r="I68" s="18">
        <v>6.4000000000000003E-3</v>
      </c>
      <c r="J68" s="18">
        <v>7.0000000000000001E-3</v>
      </c>
      <c r="K68" s="18">
        <v>5.9700000000000003E-2</v>
      </c>
      <c r="L68" s="18">
        <v>1.1299999999999999E-2</v>
      </c>
      <c r="M68" s="18">
        <v>2.8899999999999999E-2</v>
      </c>
      <c r="N68" s="18">
        <v>2.7400000000000001E-2</v>
      </c>
    </row>
    <row r="69" spans="1:14" x14ac:dyDescent="0.3">
      <c r="A69" s="17">
        <v>719465</v>
      </c>
      <c r="B69" s="17" t="s">
        <v>56</v>
      </c>
      <c r="C69" s="17" t="s">
        <v>56</v>
      </c>
      <c r="D69" s="17" t="s">
        <v>114</v>
      </c>
      <c r="E69" s="17" t="s">
        <v>113</v>
      </c>
      <c r="F69" s="17">
        <v>1.2699999999999999E-2</v>
      </c>
      <c r="G69" s="26" t="s">
        <v>19</v>
      </c>
      <c r="H69" s="26">
        <v>0.27500000000000002</v>
      </c>
      <c r="I69" s="17">
        <v>5.3E-3</v>
      </c>
      <c r="J69" s="17">
        <v>5.7000000000000002E-3</v>
      </c>
      <c r="K69" s="17">
        <v>4.8899999999999999E-2</v>
      </c>
      <c r="L69" s="17">
        <v>9.2999999999999992E-3</v>
      </c>
      <c r="M69" s="17">
        <v>2.3599999999999999E-2</v>
      </c>
      <c r="N69" s="17">
        <v>2.24E-2</v>
      </c>
    </row>
    <row r="70" spans="1:14" x14ac:dyDescent="0.3">
      <c r="A70" s="18">
        <v>719414</v>
      </c>
      <c r="B70" s="18" t="s">
        <v>56</v>
      </c>
      <c r="C70" s="18" t="s">
        <v>56</v>
      </c>
      <c r="D70" s="18" t="s">
        <v>115</v>
      </c>
      <c r="E70" s="18" t="s">
        <v>116</v>
      </c>
      <c r="F70" s="18">
        <v>1.2E-2</v>
      </c>
      <c r="G70" s="27" t="s">
        <v>41</v>
      </c>
      <c r="H70" s="27">
        <v>0.155</v>
      </c>
      <c r="I70" s="18">
        <v>7.9000000000000008E-3</v>
      </c>
      <c r="J70" s="18">
        <v>5.1000000000000004E-3</v>
      </c>
      <c r="K70" s="18">
        <v>0</v>
      </c>
      <c r="L70" s="18">
        <v>1.3100000000000001E-2</v>
      </c>
      <c r="M70" s="18">
        <v>4.8999999999999998E-3</v>
      </c>
      <c r="N70" s="18">
        <v>0</v>
      </c>
    </row>
    <row r="71" spans="1:14" x14ac:dyDescent="0.3">
      <c r="A71" s="17">
        <v>719413</v>
      </c>
      <c r="B71" s="17" t="s">
        <v>56</v>
      </c>
      <c r="C71" s="17" t="s">
        <v>56</v>
      </c>
      <c r="D71" s="17" t="s">
        <v>117</v>
      </c>
      <c r="E71" s="17">
        <v>9891951</v>
      </c>
      <c r="F71" s="17">
        <v>3.0200000000000001E-2</v>
      </c>
      <c r="G71" s="26" t="s">
        <v>43</v>
      </c>
      <c r="H71" s="26">
        <v>0.35499999999999998</v>
      </c>
      <c r="I71" s="17">
        <v>7.9000000000000008E-3</v>
      </c>
      <c r="J71" s="17">
        <v>1.2999999999999999E-2</v>
      </c>
      <c r="K71" s="17">
        <v>0.12139999999999999</v>
      </c>
      <c r="L71" s="17">
        <v>1.7399999999999999E-2</v>
      </c>
      <c r="M71" s="17">
        <v>5.57E-2</v>
      </c>
      <c r="N71" s="17">
        <v>5.4300000000000001E-2</v>
      </c>
    </row>
    <row r="72" spans="1:14" x14ac:dyDescent="0.3">
      <c r="A72" s="18">
        <v>719412</v>
      </c>
      <c r="B72" s="18" t="s">
        <v>56</v>
      </c>
      <c r="C72" s="18" t="s">
        <v>56</v>
      </c>
      <c r="D72" s="18">
        <v>6814492</v>
      </c>
      <c r="E72" s="18" t="s">
        <v>117</v>
      </c>
      <c r="F72" s="18">
        <v>1.3299999999999999E-2</v>
      </c>
      <c r="G72" s="27" t="s">
        <v>43</v>
      </c>
      <c r="H72" s="27">
        <v>0.35499999999999998</v>
      </c>
      <c r="I72" s="18">
        <v>3.5000000000000001E-3</v>
      </c>
      <c r="J72" s="18">
        <v>5.7000000000000002E-3</v>
      </c>
      <c r="K72" s="18">
        <v>5.3600000000000002E-2</v>
      </c>
      <c r="L72" s="18">
        <v>7.7000000000000002E-3</v>
      </c>
      <c r="M72" s="18">
        <v>2.46E-2</v>
      </c>
      <c r="N72" s="18">
        <v>2.4E-2</v>
      </c>
    </row>
    <row r="73" spans="1:14" x14ac:dyDescent="0.3">
      <c r="A73" s="17">
        <v>719325</v>
      </c>
      <c r="B73" s="17" t="s">
        <v>56</v>
      </c>
      <c r="C73" s="17" t="s">
        <v>56</v>
      </c>
      <c r="D73" s="17">
        <v>6841023</v>
      </c>
      <c r="E73" s="17">
        <v>6840931</v>
      </c>
      <c r="F73" s="17">
        <v>3.15E-2</v>
      </c>
      <c r="G73" s="26" t="s">
        <v>19</v>
      </c>
      <c r="H73" s="26">
        <v>0.27500000000000002</v>
      </c>
      <c r="I73" s="17">
        <v>1.3100000000000001E-2</v>
      </c>
      <c r="J73" s="17">
        <v>1.41E-2</v>
      </c>
      <c r="K73" s="17">
        <v>0.1212</v>
      </c>
      <c r="L73" s="17">
        <v>2.3E-2</v>
      </c>
      <c r="M73" s="17">
        <v>5.8700000000000002E-2</v>
      </c>
      <c r="N73" s="17">
        <v>5.5599999999999997E-2</v>
      </c>
    </row>
    <row r="74" spans="1:14" x14ac:dyDescent="0.3">
      <c r="A74" s="18">
        <v>719324</v>
      </c>
      <c r="B74" s="18" t="s">
        <v>56</v>
      </c>
      <c r="C74" s="18" t="s">
        <v>56</v>
      </c>
      <c r="D74" s="18" t="s">
        <v>112</v>
      </c>
      <c r="E74" s="18">
        <v>6841023</v>
      </c>
      <c r="F74" s="18">
        <v>2.1299999999999999E-2</v>
      </c>
      <c r="G74" s="27" t="s">
        <v>19</v>
      </c>
      <c r="H74" s="27">
        <v>0.27500000000000002</v>
      </c>
      <c r="I74" s="18">
        <v>8.8000000000000005E-3</v>
      </c>
      <c r="J74" s="18">
        <v>9.4999999999999998E-3</v>
      </c>
      <c r="K74" s="18">
        <v>8.1900000000000001E-2</v>
      </c>
      <c r="L74" s="18">
        <v>1.55E-2</v>
      </c>
      <c r="M74" s="18">
        <v>3.9600000000000003E-2</v>
      </c>
      <c r="N74" s="18">
        <v>3.7499999999999999E-2</v>
      </c>
    </row>
    <row r="75" spans="1:14" x14ac:dyDescent="0.3">
      <c r="A75" s="17">
        <v>719321</v>
      </c>
      <c r="B75" s="17" t="s">
        <v>56</v>
      </c>
      <c r="C75" s="17" t="s">
        <v>56</v>
      </c>
      <c r="D75" s="17" t="s">
        <v>118</v>
      </c>
      <c r="E75" s="17">
        <v>6841023</v>
      </c>
      <c r="F75" s="17">
        <v>2.8899999999999999E-2</v>
      </c>
      <c r="G75" s="26" t="s">
        <v>19</v>
      </c>
      <c r="H75" s="26">
        <v>0.27500000000000002</v>
      </c>
      <c r="I75" s="17">
        <v>1.2E-2</v>
      </c>
      <c r="J75" s="17">
        <v>1.29E-2</v>
      </c>
      <c r="K75" s="17">
        <v>0.1111</v>
      </c>
      <c r="L75" s="17">
        <v>2.1100000000000001E-2</v>
      </c>
      <c r="M75" s="17">
        <v>5.3800000000000001E-2</v>
      </c>
      <c r="N75" s="17">
        <v>5.0900000000000001E-2</v>
      </c>
    </row>
    <row r="76" spans="1:14" x14ac:dyDescent="0.3">
      <c r="A76" s="18">
        <v>719288</v>
      </c>
      <c r="B76" s="18" t="s">
        <v>56</v>
      </c>
      <c r="C76" s="18" t="s">
        <v>56</v>
      </c>
      <c r="D76" s="18" t="s">
        <v>119</v>
      </c>
      <c r="E76" s="18" t="s">
        <v>120</v>
      </c>
      <c r="F76" s="18">
        <v>3.3700000000000001E-2</v>
      </c>
      <c r="G76" s="27" t="s">
        <v>19</v>
      </c>
      <c r="H76" s="27">
        <v>0.27500000000000002</v>
      </c>
      <c r="I76" s="18">
        <v>1.4E-2</v>
      </c>
      <c r="J76" s="18">
        <v>1.5100000000000001E-2</v>
      </c>
      <c r="K76" s="18">
        <v>0.12970000000000001</v>
      </c>
      <c r="L76" s="18">
        <v>2.46E-2</v>
      </c>
      <c r="M76" s="18">
        <v>6.2700000000000006E-2</v>
      </c>
      <c r="N76" s="18">
        <v>5.9499999999999997E-2</v>
      </c>
    </row>
    <row r="77" spans="1:14" x14ac:dyDescent="0.3">
      <c r="A77" s="17">
        <v>719287</v>
      </c>
      <c r="B77" s="17" t="s">
        <v>56</v>
      </c>
      <c r="C77" s="17" t="s">
        <v>56</v>
      </c>
      <c r="D77" s="17" t="s">
        <v>121</v>
      </c>
      <c r="E77" s="17" t="s">
        <v>120</v>
      </c>
      <c r="F77" s="17">
        <v>6.7000000000000002E-3</v>
      </c>
      <c r="G77" s="26" t="s">
        <v>43</v>
      </c>
      <c r="H77" s="26">
        <v>0.35499999999999998</v>
      </c>
      <c r="I77" s="17">
        <v>1.8E-3</v>
      </c>
      <c r="J77" s="17">
        <v>2.8999999999999998E-3</v>
      </c>
      <c r="K77" s="17">
        <v>2.7099999999999999E-2</v>
      </c>
      <c r="L77" s="17">
        <v>3.8999999999999998E-3</v>
      </c>
      <c r="M77" s="17">
        <v>1.24E-2</v>
      </c>
      <c r="N77" s="17">
        <v>1.21E-2</v>
      </c>
    </row>
    <row r="78" spans="1:14" x14ac:dyDescent="0.3">
      <c r="A78" s="18">
        <v>716705</v>
      </c>
      <c r="B78" s="18" t="s">
        <v>56</v>
      </c>
      <c r="C78" s="18" t="s">
        <v>56</v>
      </c>
      <c r="D78" s="18">
        <v>6819141</v>
      </c>
      <c r="E78" s="18">
        <v>4231821</v>
      </c>
      <c r="F78" s="18">
        <v>5.1799999999999999E-2</v>
      </c>
      <c r="G78" s="27" t="s">
        <v>19</v>
      </c>
      <c r="H78" s="27">
        <v>0.27500000000000002</v>
      </c>
      <c r="I78" s="18">
        <v>2.1499999999999998E-2</v>
      </c>
      <c r="J78" s="18">
        <v>2.3199999999999998E-2</v>
      </c>
      <c r="K78" s="18">
        <v>0.19950000000000001</v>
      </c>
      <c r="L78" s="18">
        <v>3.7900000000000003E-2</v>
      </c>
      <c r="M78" s="18">
        <v>9.6500000000000002E-2</v>
      </c>
      <c r="N78" s="18">
        <v>9.1499999999999998E-2</v>
      </c>
    </row>
    <row r="79" spans="1:14" x14ac:dyDescent="0.3">
      <c r="A79" s="17">
        <v>716704</v>
      </c>
      <c r="B79" s="17" t="s">
        <v>56</v>
      </c>
      <c r="C79" s="17" t="s">
        <v>56</v>
      </c>
      <c r="D79" s="17">
        <v>4231821</v>
      </c>
      <c r="E79" s="17" t="s">
        <v>122</v>
      </c>
      <c r="F79" s="17">
        <v>4.0899999999999999E-2</v>
      </c>
      <c r="G79" s="26" t="s">
        <v>19</v>
      </c>
      <c r="H79" s="26">
        <v>0.27500000000000002</v>
      </c>
      <c r="I79" s="17">
        <v>1.7000000000000001E-2</v>
      </c>
      <c r="J79" s="17">
        <v>1.83E-2</v>
      </c>
      <c r="K79" s="17">
        <v>0.1573</v>
      </c>
      <c r="L79" s="17">
        <v>2.9899999999999999E-2</v>
      </c>
      <c r="M79" s="17">
        <v>7.6100000000000001E-2</v>
      </c>
      <c r="N79" s="17">
        <v>7.2099999999999997E-2</v>
      </c>
    </row>
    <row r="80" spans="1:14" x14ac:dyDescent="0.3">
      <c r="A80" s="18">
        <v>716703</v>
      </c>
      <c r="B80" s="18" t="s">
        <v>56</v>
      </c>
      <c r="C80" s="18" t="s">
        <v>56</v>
      </c>
      <c r="D80" s="18">
        <v>6819095</v>
      </c>
      <c r="E80" s="18">
        <v>4231821</v>
      </c>
      <c r="F80" s="18">
        <v>4.2500000000000003E-2</v>
      </c>
      <c r="G80" s="27" t="s">
        <v>19</v>
      </c>
      <c r="H80" s="27">
        <v>0.27500000000000002</v>
      </c>
      <c r="I80" s="18">
        <v>1.7600000000000001E-2</v>
      </c>
      <c r="J80" s="18">
        <v>1.9E-2</v>
      </c>
      <c r="K80" s="18">
        <v>0.1636</v>
      </c>
      <c r="L80" s="18">
        <v>3.1099999999999999E-2</v>
      </c>
      <c r="M80" s="18">
        <v>7.9200000000000007E-2</v>
      </c>
      <c r="N80" s="18">
        <v>7.4999999999999997E-2</v>
      </c>
    </row>
    <row r="81" spans="1:14" x14ac:dyDescent="0.3">
      <c r="A81" s="17">
        <v>716701</v>
      </c>
      <c r="B81" s="17" t="s">
        <v>56</v>
      </c>
      <c r="C81" s="17" t="s">
        <v>56</v>
      </c>
      <c r="D81" s="17" t="s">
        <v>123</v>
      </c>
      <c r="E81" s="17">
        <v>6819141</v>
      </c>
      <c r="F81" s="17">
        <v>3.6499999999999998E-2</v>
      </c>
      <c r="G81" s="26" t="s">
        <v>19</v>
      </c>
      <c r="H81" s="26">
        <v>0.27500000000000002</v>
      </c>
      <c r="I81" s="17">
        <v>1.5100000000000001E-2</v>
      </c>
      <c r="J81" s="17">
        <v>1.6299999999999999E-2</v>
      </c>
      <c r="K81" s="17">
        <v>0.1404</v>
      </c>
      <c r="L81" s="17">
        <v>2.6700000000000002E-2</v>
      </c>
      <c r="M81" s="17">
        <v>6.8000000000000005E-2</v>
      </c>
      <c r="N81" s="17">
        <v>6.4399999999999999E-2</v>
      </c>
    </row>
    <row r="82" spans="1:14" x14ac:dyDescent="0.3">
      <c r="A82" s="18">
        <v>715468</v>
      </c>
      <c r="B82" s="18" t="s">
        <v>56</v>
      </c>
      <c r="C82" s="18" t="s">
        <v>56</v>
      </c>
      <c r="D82" s="18" t="s">
        <v>124</v>
      </c>
      <c r="E82" s="18">
        <v>4929748</v>
      </c>
      <c r="F82" s="18">
        <v>1.2E-2</v>
      </c>
      <c r="G82" s="27" t="s">
        <v>41</v>
      </c>
      <c r="H82" s="27">
        <v>0.155</v>
      </c>
      <c r="I82" s="18">
        <v>7.9000000000000008E-3</v>
      </c>
      <c r="J82" s="18">
        <v>5.1000000000000004E-3</v>
      </c>
      <c r="K82" s="18">
        <v>0</v>
      </c>
      <c r="L82" s="18">
        <v>1.3100000000000001E-2</v>
      </c>
      <c r="M82" s="18">
        <v>4.8999999999999998E-3</v>
      </c>
      <c r="N82" s="18">
        <v>0</v>
      </c>
    </row>
    <row r="83" spans="1:14" x14ac:dyDescent="0.3">
      <c r="A83" s="17">
        <v>715467</v>
      </c>
      <c r="B83" s="17" t="s">
        <v>56</v>
      </c>
      <c r="C83" s="17" t="s">
        <v>56</v>
      </c>
      <c r="D83" s="17">
        <v>4929756</v>
      </c>
      <c r="E83" s="17">
        <v>4929748</v>
      </c>
      <c r="F83" s="17">
        <v>1.18E-2</v>
      </c>
      <c r="G83" s="26" t="s">
        <v>41</v>
      </c>
      <c r="H83" s="26">
        <v>0.155</v>
      </c>
      <c r="I83" s="17">
        <v>7.7999999999999996E-3</v>
      </c>
      <c r="J83" s="17">
        <v>5.0000000000000001E-3</v>
      </c>
      <c r="K83" s="17">
        <v>0</v>
      </c>
      <c r="L83" s="17">
        <v>1.2999999999999999E-2</v>
      </c>
      <c r="M83" s="17">
        <v>4.7999999999999996E-3</v>
      </c>
      <c r="N83" s="17">
        <v>0</v>
      </c>
    </row>
    <row r="84" spans="1:14" x14ac:dyDescent="0.3">
      <c r="A84" s="18">
        <v>715466</v>
      </c>
      <c r="B84" s="18" t="s">
        <v>56</v>
      </c>
      <c r="C84" s="18" t="s">
        <v>56</v>
      </c>
      <c r="D84" s="18" t="s">
        <v>125</v>
      </c>
      <c r="E84" s="18">
        <v>4929756</v>
      </c>
      <c r="F84" s="18">
        <v>6.6E-3</v>
      </c>
      <c r="G84" s="27" t="s">
        <v>41</v>
      </c>
      <c r="H84" s="27">
        <v>0.155</v>
      </c>
      <c r="I84" s="18">
        <v>4.3E-3</v>
      </c>
      <c r="J84" s="18">
        <v>2.8E-3</v>
      </c>
      <c r="K84" s="18">
        <v>0</v>
      </c>
      <c r="L84" s="18">
        <v>7.1999999999999998E-3</v>
      </c>
      <c r="M84" s="18">
        <v>2.7000000000000001E-3</v>
      </c>
      <c r="N84" s="18">
        <v>0</v>
      </c>
    </row>
    <row r="85" spans="1:14" x14ac:dyDescent="0.3">
      <c r="A85" s="17">
        <v>715465</v>
      </c>
      <c r="B85" s="17" t="s">
        <v>56</v>
      </c>
      <c r="C85" s="17" t="s">
        <v>56</v>
      </c>
      <c r="D85" s="17" t="s">
        <v>126</v>
      </c>
      <c r="E85" s="17" t="s">
        <v>127</v>
      </c>
      <c r="F85" s="17">
        <v>7.3000000000000001E-3</v>
      </c>
      <c r="G85" s="26" t="s">
        <v>41</v>
      </c>
      <c r="H85" s="26">
        <v>0.155</v>
      </c>
      <c r="I85" s="17">
        <v>4.7999999999999996E-3</v>
      </c>
      <c r="J85" s="17">
        <v>3.0999999999999999E-3</v>
      </c>
      <c r="K85" s="17">
        <v>0</v>
      </c>
      <c r="L85" s="17">
        <v>8.0000000000000002E-3</v>
      </c>
      <c r="M85" s="17">
        <v>3.0000000000000001E-3</v>
      </c>
      <c r="N85" s="17">
        <v>0</v>
      </c>
    </row>
    <row r="86" spans="1:14" x14ac:dyDescent="0.3">
      <c r="A86" s="18">
        <v>715131</v>
      </c>
      <c r="B86" s="18" t="s">
        <v>56</v>
      </c>
      <c r="C86" s="18" t="s">
        <v>56</v>
      </c>
      <c r="D86" s="18">
        <v>4929535</v>
      </c>
      <c r="E86" s="18" t="s">
        <v>128</v>
      </c>
      <c r="F86" s="18">
        <v>1.0999999999999999E-2</v>
      </c>
      <c r="G86" s="27" t="s">
        <v>41</v>
      </c>
      <c r="H86" s="27">
        <v>0.155</v>
      </c>
      <c r="I86" s="18">
        <v>7.1999999999999998E-3</v>
      </c>
      <c r="J86" s="18">
        <v>4.7000000000000002E-3</v>
      </c>
      <c r="K86" s="18">
        <v>0</v>
      </c>
      <c r="L86" s="18">
        <v>1.21E-2</v>
      </c>
      <c r="M86" s="18">
        <v>4.4999999999999997E-3</v>
      </c>
      <c r="N86" s="18">
        <v>0</v>
      </c>
    </row>
    <row r="87" spans="1:14" x14ac:dyDescent="0.3">
      <c r="A87" s="17">
        <v>715130</v>
      </c>
      <c r="B87" s="17" t="s">
        <v>56</v>
      </c>
      <c r="C87" s="17" t="s">
        <v>56</v>
      </c>
      <c r="D87" s="17">
        <v>4929543</v>
      </c>
      <c r="E87" s="17">
        <v>4929535</v>
      </c>
      <c r="F87" s="17">
        <v>2.47E-2</v>
      </c>
      <c r="G87" s="26" t="s">
        <v>41</v>
      </c>
      <c r="H87" s="26">
        <v>0.155</v>
      </c>
      <c r="I87" s="17">
        <v>1.6199999999999999E-2</v>
      </c>
      <c r="J87" s="17">
        <v>1.0500000000000001E-2</v>
      </c>
      <c r="K87" s="17">
        <v>0</v>
      </c>
      <c r="L87" s="17">
        <v>2.7099999999999999E-2</v>
      </c>
      <c r="M87" s="17">
        <v>1.01E-2</v>
      </c>
      <c r="N87" s="17">
        <v>0</v>
      </c>
    </row>
    <row r="88" spans="1:14" x14ac:dyDescent="0.3">
      <c r="A88" s="18">
        <v>715129</v>
      </c>
      <c r="B88" s="18" t="s">
        <v>56</v>
      </c>
      <c r="C88" s="18" t="s">
        <v>56</v>
      </c>
      <c r="D88" s="18">
        <v>4929551</v>
      </c>
      <c r="E88" s="18">
        <v>4929543</v>
      </c>
      <c r="F88" s="18">
        <v>2.29E-2</v>
      </c>
      <c r="G88" s="27" t="s">
        <v>41</v>
      </c>
      <c r="H88" s="27">
        <v>0.155</v>
      </c>
      <c r="I88" s="18">
        <v>1.4999999999999999E-2</v>
      </c>
      <c r="J88" s="18">
        <v>9.7999999999999997E-3</v>
      </c>
      <c r="K88" s="18">
        <v>0</v>
      </c>
      <c r="L88" s="18">
        <v>2.5100000000000001E-2</v>
      </c>
      <c r="M88" s="18">
        <v>9.2999999999999992E-3</v>
      </c>
      <c r="N88" s="18">
        <v>0</v>
      </c>
    </row>
    <row r="89" spans="1:14" x14ac:dyDescent="0.3">
      <c r="A89" s="17">
        <v>715128</v>
      </c>
      <c r="B89" s="17" t="s">
        <v>56</v>
      </c>
      <c r="C89" s="17" t="s">
        <v>56</v>
      </c>
      <c r="D89" s="17" t="s">
        <v>129</v>
      </c>
      <c r="E89" s="17">
        <v>4929551</v>
      </c>
      <c r="F89" s="17">
        <v>1.2E-2</v>
      </c>
      <c r="G89" s="26" t="s">
        <v>41</v>
      </c>
      <c r="H89" s="26">
        <v>0.155</v>
      </c>
      <c r="I89" s="17">
        <v>7.9000000000000008E-3</v>
      </c>
      <c r="J89" s="17">
        <v>5.1000000000000004E-3</v>
      </c>
      <c r="K89" s="17">
        <v>0</v>
      </c>
      <c r="L89" s="17">
        <v>1.3100000000000001E-2</v>
      </c>
      <c r="M89" s="17">
        <v>4.8999999999999998E-3</v>
      </c>
      <c r="N89" s="17">
        <v>0</v>
      </c>
    </row>
    <row r="90" spans="1:14" x14ac:dyDescent="0.3">
      <c r="A90" s="18">
        <v>714494</v>
      </c>
      <c r="B90" s="18" t="s">
        <v>56</v>
      </c>
      <c r="C90" s="18" t="s">
        <v>56</v>
      </c>
      <c r="D90" s="18">
        <v>6841040</v>
      </c>
      <c r="E90" s="18" t="s">
        <v>114</v>
      </c>
      <c r="F90" s="18">
        <v>1.2800000000000001E-2</v>
      </c>
      <c r="G90" s="27" t="s">
        <v>17</v>
      </c>
      <c r="H90" s="27">
        <v>0.184</v>
      </c>
      <c r="I90" s="18">
        <v>1.06E-2</v>
      </c>
      <c r="J90" s="18">
        <v>6.1000000000000004E-3</v>
      </c>
      <c r="K90" s="18">
        <v>4.6199999999999998E-2</v>
      </c>
      <c r="L90" s="18">
        <v>1.46E-2</v>
      </c>
      <c r="M90" s="18">
        <v>2.41E-2</v>
      </c>
      <c r="N90" s="18">
        <v>2.1899999999999999E-2</v>
      </c>
    </row>
    <row r="91" spans="1:14" x14ac:dyDescent="0.3">
      <c r="A91" s="17">
        <v>713296</v>
      </c>
      <c r="B91" s="17" t="s">
        <v>56</v>
      </c>
      <c r="C91" s="17" t="s">
        <v>56</v>
      </c>
      <c r="D91" s="17">
        <v>4270606</v>
      </c>
      <c r="E91" s="17" t="s">
        <v>130</v>
      </c>
      <c r="F91" s="17">
        <v>1.7999999999999999E-2</v>
      </c>
      <c r="G91" s="26" t="s">
        <v>41</v>
      </c>
      <c r="H91" s="26">
        <v>0.155</v>
      </c>
      <c r="I91" s="17">
        <v>1.18E-2</v>
      </c>
      <c r="J91" s="17">
        <v>7.7000000000000002E-3</v>
      </c>
      <c r="K91" s="17">
        <v>0</v>
      </c>
      <c r="L91" s="17">
        <v>1.9699999999999999E-2</v>
      </c>
      <c r="M91" s="17">
        <v>7.3000000000000001E-3</v>
      </c>
      <c r="N91" s="17">
        <v>0</v>
      </c>
    </row>
    <row r="92" spans="1:14" x14ac:dyDescent="0.3">
      <c r="A92" s="18">
        <v>713295</v>
      </c>
      <c r="B92" s="18" t="s">
        <v>56</v>
      </c>
      <c r="C92" s="18" t="s">
        <v>56</v>
      </c>
      <c r="D92" s="18">
        <v>4271408</v>
      </c>
      <c r="E92" s="18">
        <v>4270606</v>
      </c>
      <c r="F92" s="18">
        <v>2.8E-3</v>
      </c>
      <c r="G92" s="27" t="s">
        <v>41</v>
      </c>
      <c r="H92" s="27">
        <v>0.155</v>
      </c>
      <c r="I92" s="18">
        <v>1.9E-3</v>
      </c>
      <c r="J92" s="18">
        <v>1.1999999999999999E-3</v>
      </c>
      <c r="K92" s="18">
        <v>0</v>
      </c>
      <c r="L92" s="18">
        <v>3.0999999999999999E-3</v>
      </c>
      <c r="M92" s="18">
        <v>1.1999999999999999E-3</v>
      </c>
      <c r="N92" s="18">
        <v>0</v>
      </c>
    </row>
    <row r="93" spans="1:14" x14ac:dyDescent="0.3">
      <c r="A93" s="17">
        <v>713294</v>
      </c>
      <c r="B93" s="17" t="s">
        <v>56</v>
      </c>
      <c r="C93" s="17" t="s">
        <v>56</v>
      </c>
      <c r="D93" s="17" t="s">
        <v>131</v>
      </c>
      <c r="E93" s="17">
        <v>4271408</v>
      </c>
      <c r="F93" s="17">
        <v>1.2E-2</v>
      </c>
      <c r="G93" s="26" t="s">
        <v>41</v>
      </c>
      <c r="H93" s="26">
        <v>0.155</v>
      </c>
      <c r="I93" s="17">
        <v>7.9000000000000008E-3</v>
      </c>
      <c r="J93" s="17">
        <v>5.1000000000000004E-3</v>
      </c>
      <c r="K93" s="17">
        <v>0</v>
      </c>
      <c r="L93" s="17">
        <v>1.3100000000000001E-2</v>
      </c>
      <c r="M93" s="17">
        <v>4.8999999999999998E-3</v>
      </c>
      <c r="N93" s="17">
        <v>0</v>
      </c>
    </row>
    <row r="94" spans="1:14" x14ac:dyDescent="0.3">
      <c r="A94" s="18">
        <v>712226</v>
      </c>
      <c r="B94" s="18" t="s">
        <v>56</v>
      </c>
      <c r="C94" s="18" t="s">
        <v>56</v>
      </c>
      <c r="D94" s="18" t="s">
        <v>132</v>
      </c>
      <c r="E94" s="18" t="s">
        <v>77</v>
      </c>
      <c r="F94" s="18">
        <v>2.4E-2</v>
      </c>
      <c r="G94" s="27" t="s">
        <v>19</v>
      </c>
      <c r="H94" s="27">
        <v>0.27500000000000002</v>
      </c>
      <c r="I94" s="18">
        <v>0.01</v>
      </c>
      <c r="J94" s="18">
        <v>1.0699999999999999E-2</v>
      </c>
      <c r="K94" s="18">
        <v>9.2399999999999996E-2</v>
      </c>
      <c r="L94" s="18">
        <v>1.7500000000000002E-2</v>
      </c>
      <c r="M94" s="18">
        <v>4.4699999999999997E-2</v>
      </c>
      <c r="N94" s="18">
        <v>4.2299999999999997E-2</v>
      </c>
    </row>
    <row r="95" spans="1:14" x14ac:dyDescent="0.3">
      <c r="A95" s="17">
        <v>711723</v>
      </c>
      <c r="B95" s="17" t="s">
        <v>56</v>
      </c>
      <c r="C95" s="17" t="s">
        <v>56</v>
      </c>
      <c r="D95" s="17" t="s">
        <v>133</v>
      </c>
      <c r="E95" s="17" t="s">
        <v>110</v>
      </c>
      <c r="F95" s="17">
        <v>1.67E-2</v>
      </c>
      <c r="G95" s="26" t="s">
        <v>18</v>
      </c>
      <c r="H95" s="26">
        <v>0.24099999999999999</v>
      </c>
      <c r="I95" s="17">
        <v>8.6999999999999994E-3</v>
      </c>
      <c r="J95" s="17">
        <v>7.6E-3</v>
      </c>
      <c r="K95" s="17">
        <v>6.3E-2</v>
      </c>
      <c r="L95" s="17">
        <v>1.4E-2</v>
      </c>
      <c r="M95" s="17">
        <v>3.1300000000000001E-2</v>
      </c>
      <c r="N95" s="17">
        <v>2.92E-2</v>
      </c>
    </row>
    <row r="96" spans="1:14" x14ac:dyDescent="0.3">
      <c r="A96" s="18">
        <v>322128</v>
      </c>
      <c r="B96" s="18" t="s">
        <v>56</v>
      </c>
      <c r="C96" s="18" t="s">
        <v>56</v>
      </c>
      <c r="D96" s="18" t="s">
        <v>96</v>
      </c>
      <c r="E96" s="18" t="s">
        <v>122</v>
      </c>
      <c r="F96" s="18">
        <v>1.6400000000000001E-2</v>
      </c>
      <c r="G96" s="27" t="s">
        <v>19</v>
      </c>
      <c r="H96" s="27">
        <v>0.27500000000000002</v>
      </c>
      <c r="I96" s="18">
        <v>6.7999999999999996E-3</v>
      </c>
      <c r="J96" s="18">
        <v>7.3000000000000001E-3</v>
      </c>
      <c r="K96" s="18">
        <v>6.3E-2</v>
      </c>
      <c r="L96" s="18">
        <v>1.2E-2</v>
      </c>
      <c r="M96" s="18">
        <v>3.0499999999999999E-2</v>
      </c>
      <c r="N96" s="18">
        <v>2.8899999999999999E-2</v>
      </c>
    </row>
    <row r="97" spans="1:14" x14ac:dyDescent="0.3">
      <c r="A97" s="17">
        <v>318550</v>
      </c>
      <c r="B97" s="17" t="s">
        <v>56</v>
      </c>
      <c r="C97" s="17" t="s">
        <v>56</v>
      </c>
      <c r="D97" s="17" t="s">
        <v>134</v>
      </c>
      <c r="E97" s="17" t="s">
        <v>135</v>
      </c>
      <c r="F97" s="17">
        <v>4.5100000000000001E-2</v>
      </c>
      <c r="G97" s="26" t="s">
        <v>19</v>
      </c>
      <c r="H97" s="26">
        <v>0.27500000000000002</v>
      </c>
      <c r="I97" s="17">
        <v>1.8700000000000001E-2</v>
      </c>
      <c r="J97" s="17">
        <v>2.0199999999999999E-2</v>
      </c>
      <c r="K97" s="17">
        <v>0.17369999999999999</v>
      </c>
      <c r="L97" s="17">
        <v>3.3000000000000002E-2</v>
      </c>
      <c r="M97" s="17">
        <v>8.4000000000000005E-2</v>
      </c>
      <c r="N97" s="17">
        <v>7.9600000000000004E-2</v>
      </c>
    </row>
    <row r="98" spans="1:14" x14ac:dyDescent="0.3">
      <c r="A98" s="18">
        <v>318548</v>
      </c>
      <c r="B98" s="18" t="s">
        <v>56</v>
      </c>
      <c r="C98" s="18" t="s">
        <v>56</v>
      </c>
      <c r="D98" s="18">
        <v>6819109</v>
      </c>
      <c r="E98" s="18">
        <v>6819095</v>
      </c>
      <c r="F98" s="18">
        <v>5.3999999999999999E-2</v>
      </c>
      <c r="G98" s="27" t="s">
        <v>19</v>
      </c>
      <c r="H98" s="27">
        <v>0.27500000000000002</v>
      </c>
      <c r="I98" s="18">
        <v>2.24E-2</v>
      </c>
      <c r="J98" s="18">
        <v>2.4199999999999999E-2</v>
      </c>
      <c r="K98" s="18">
        <v>0.2079</v>
      </c>
      <c r="L98" s="18">
        <v>3.95E-2</v>
      </c>
      <c r="M98" s="18">
        <v>0.10059999999999999</v>
      </c>
      <c r="N98" s="18">
        <v>9.5299999999999996E-2</v>
      </c>
    </row>
    <row r="99" spans="1:14" x14ac:dyDescent="0.3">
      <c r="A99" s="17">
        <v>318538</v>
      </c>
      <c r="B99" s="17" t="s">
        <v>56</v>
      </c>
      <c r="C99" s="17" t="s">
        <v>56</v>
      </c>
      <c r="D99" s="17" t="s">
        <v>136</v>
      </c>
      <c r="E99" s="17">
        <v>7883153</v>
      </c>
      <c r="F99" s="17">
        <v>5.6800000000000003E-2</v>
      </c>
      <c r="G99" s="26" t="s">
        <v>19</v>
      </c>
      <c r="H99" s="26">
        <v>0.27500000000000002</v>
      </c>
      <c r="I99" s="17">
        <v>2.3599999999999999E-2</v>
      </c>
      <c r="J99" s="17">
        <v>2.5499999999999998E-2</v>
      </c>
      <c r="K99" s="17">
        <v>0.21870000000000001</v>
      </c>
      <c r="L99" s="17">
        <v>4.1500000000000002E-2</v>
      </c>
      <c r="M99" s="17">
        <v>0.10580000000000001</v>
      </c>
      <c r="N99" s="17">
        <v>0.1003</v>
      </c>
    </row>
    <row r="100" spans="1:14" x14ac:dyDescent="0.3">
      <c r="A100" s="18">
        <v>318537</v>
      </c>
      <c r="B100" s="18" t="s">
        <v>56</v>
      </c>
      <c r="C100" s="18" t="s">
        <v>56</v>
      </c>
      <c r="D100" s="18">
        <v>7833253</v>
      </c>
      <c r="E100" s="18" t="s">
        <v>136</v>
      </c>
      <c r="F100" s="18">
        <v>6.0999999999999999E-2</v>
      </c>
      <c r="G100" s="27" t="s">
        <v>19</v>
      </c>
      <c r="H100" s="27">
        <v>0.27500000000000002</v>
      </c>
      <c r="I100" s="18">
        <v>2.53E-2</v>
      </c>
      <c r="J100" s="18">
        <v>2.7300000000000001E-2</v>
      </c>
      <c r="K100" s="18">
        <v>0.23480000000000001</v>
      </c>
      <c r="L100" s="18">
        <v>4.4600000000000001E-2</v>
      </c>
      <c r="M100" s="18">
        <v>0.11360000000000001</v>
      </c>
      <c r="N100" s="18">
        <v>0.1077</v>
      </c>
    </row>
    <row r="101" spans="1:14" x14ac:dyDescent="0.3">
      <c r="A101" s="17">
        <v>318535</v>
      </c>
      <c r="B101" s="17" t="s">
        <v>56</v>
      </c>
      <c r="C101" s="17" t="s">
        <v>56</v>
      </c>
      <c r="D101" s="17">
        <v>6819214</v>
      </c>
      <c r="E101" s="17">
        <v>7833253</v>
      </c>
      <c r="F101" s="17">
        <v>4.5400000000000003E-2</v>
      </c>
      <c r="G101" s="26" t="s">
        <v>18</v>
      </c>
      <c r="H101" s="26">
        <v>0.24099999999999999</v>
      </c>
      <c r="I101" s="17">
        <v>2.3699999999999999E-2</v>
      </c>
      <c r="J101" s="17">
        <v>2.07E-2</v>
      </c>
      <c r="K101" s="17">
        <v>0.17100000000000001</v>
      </c>
      <c r="L101" s="17">
        <v>3.8100000000000002E-2</v>
      </c>
      <c r="M101" s="17">
        <v>8.4900000000000003E-2</v>
      </c>
      <c r="N101" s="17">
        <v>7.9299999999999995E-2</v>
      </c>
    </row>
    <row r="102" spans="1:14" x14ac:dyDescent="0.3">
      <c r="A102" s="18">
        <v>311636</v>
      </c>
      <c r="B102" s="18" t="s">
        <v>56</v>
      </c>
      <c r="C102" s="18" t="s">
        <v>56</v>
      </c>
      <c r="D102" s="18" t="s">
        <v>137</v>
      </c>
      <c r="E102" s="18">
        <v>6817238</v>
      </c>
      <c r="F102" s="18">
        <v>3.2899999999999999E-2</v>
      </c>
      <c r="G102" s="27" t="s">
        <v>18</v>
      </c>
      <c r="H102" s="27">
        <v>0.24099999999999999</v>
      </c>
      <c r="I102" s="18">
        <v>1.72E-2</v>
      </c>
      <c r="J102" s="18">
        <v>1.4999999999999999E-2</v>
      </c>
      <c r="K102" s="18">
        <v>0.1241</v>
      </c>
      <c r="L102" s="18">
        <v>2.76E-2</v>
      </c>
      <c r="M102" s="18">
        <v>6.1600000000000002E-2</v>
      </c>
      <c r="N102" s="18">
        <v>5.7599999999999998E-2</v>
      </c>
    </row>
    <row r="103" spans="1:14" x14ac:dyDescent="0.3">
      <c r="A103" s="17">
        <v>311635</v>
      </c>
      <c r="B103" s="17" t="s">
        <v>56</v>
      </c>
      <c r="C103" s="17" t="s">
        <v>56</v>
      </c>
      <c r="D103" s="17">
        <v>6817211</v>
      </c>
      <c r="E103" s="17" t="s">
        <v>137</v>
      </c>
      <c r="F103" s="17">
        <v>3.5000000000000003E-2</v>
      </c>
      <c r="G103" s="26" t="s">
        <v>18</v>
      </c>
      <c r="H103" s="26">
        <v>0.24099999999999999</v>
      </c>
      <c r="I103" s="17">
        <v>1.83E-2</v>
      </c>
      <c r="J103" s="17">
        <v>1.6E-2</v>
      </c>
      <c r="K103" s="17">
        <v>0.13189999999999999</v>
      </c>
      <c r="L103" s="17">
        <v>2.93E-2</v>
      </c>
      <c r="M103" s="17">
        <v>6.5500000000000003E-2</v>
      </c>
      <c r="N103" s="17">
        <v>6.1199999999999997E-2</v>
      </c>
    </row>
    <row r="104" spans="1:14" x14ac:dyDescent="0.3">
      <c r="A104" s="18">
        <v>311634</v>
      </c>
      <c r="B104" s="18" t="s">
        <v>56</v>
      </c>
      <c r="C104" s="18" t="s">
        <v>56</v>
      </c>
      <c r="D104" s="18" t="s">
        <v>138</v>
      </c>
      <c r="E104" s="18">
        <v>6817211</v>
      </c>
      <c r="F104" s="18">
        <v>3.39E-2</v>
      </c>
      <c r="G104" s="27" t="s">
        <v>18</v>
      </c>
      <c r="H104" s="27">
        <v>0.24099999999999999</v>
      </c>
      <c r="I104" s="18">
        <v>1.77E-2</v>
      </c>
      <c r="J104" s="18">
        <v>1.55E-2</v>
      </c>
      <c r="K104" s="18">
        <v>0.1275</v>
      </c>
      <c r="L104" s="18">
        <v>2.8400000000000002E-2</v>
      </c>
      <c r="M104" s="18">
        <v>6.3299999999999995E-2</v>
      </c>
      <c r="N104" s="18">
        <v>5.91E-2</v>
      </c>
    </row>
    <row r="105" spans="1:14" x14ac:dyDescent="0.3">
      <c r="A105" s="17">
        <v>311633</v>
      </c>
      <c r="B105" s="17" t="s">
        <v>56</v>
      </c>
      <c r="C105" s="17" t="s">
        <v>56</v>
      </c>
      <c r="D105" s="17">
        <v>6814573</v>
      </c>
      <c r="E105" s="17">
        <v>6814557</v>
      </c>
      <c r="F105" s="17">
        <v>3.1E-2</v>
      </c>
      <c r="G105" s="26" t="s">
        <v>18</v>
      </c>
      <c r="H105" s="26">
        <v>0.24099999999999999</v>
      </c>
      <c r="I105" s="17">
        <v>1.6199999999999999E-2</v>
      </c>
      <c r="J105" s="17">
        <v>1.4200000000000001E-2</v>
      </c>
      <c r="K105" s="17">
        <v>0.1168</v>
      </c>
      <c r="L105" s="17">
        <v>2.5999999999999999E-2</v>
      </c>
      <c r="M105" s="17">
        <v>5.8000000000000003E-2</v>
      </c>
      <c r="N105" s="17">
        <v>5.4199999999999998E-2</v>
      </c>
    </row>
    <row r="106" spans="1:14" x14ac:dyDescent="0.3">
      <c r="A106" s="18">
        <v>311632</v>
      </c>
      <c r="B106" s="18" t="s">
        <v>56</v>
      </c>
      <c r="C106" s="18" t="s">
        <v>56</v>
      </c>
      <c r="D106" s="18">
        <v>6814573</v>
      </c>
      <c r="E106" s="18" t="s">
        <v>138</v>
      </c>
      <c r="F106" s="18">
        <v>4.9200000000000001E-2</v>
      </c>
      <c r="G106" s="27" t="s">
        <v>18</v>
      </c>
      <c r="H106" s="27">
        <v>0.24099999999999999</v>
      </c>
      <c r="I106" s="18">
        <v>2.5700000000000001E-2</v>
      </c>
      <c r="J106" s="18">
        <v>2.2499999999999999E-2</v>
      </c>
      <c r="K106" s="18">
        <v>0.1855</v>
      </c>
      <c r="L106" s="18">
        <v>4.1300000000000003E-2</v>
      </c>
      <c r="M106" s="18">
        <v>9.2100000000000001E-2</v>
      </c>
      <c r="N106" s="18">
        <v>8.5999999999999993E-2</v>
      </c>
    </row>
    <row r="107" spans="1:14" x14ac:dyDescent="0.3">
      <c r="A107" s="17">
        <v>311629</v>
      </c>
      <c r="B107" s="17" t="s">
        <v>56</v>
      </c>
      <c r="C107" s="17" t="s">
        <v>56</v>
      </c>
      <c r="D107" s="17" t="s">
        <v>139</v>
      </c>
      <c r="E107" s="17">
        <v>6814531</v>
      </c>
      <c r="F107" s="17">
        <v>3.1099999999999999E-2</v>
      </c>
      <c r="G107" s="26" t="s">
        <v>43</v>
      </c>
      <c r="H107" s="26">
        <v>0.35499999999999998</v>
      </c>
      <c r="I107" s="17">
        <v>8.0999999999999996E-3</v>
      </c>
      <c r="J107" s="17">
        <v>1.34E-2</v>
      </c>
      <c r="K107" s="17">
        <v>0.12509999999999999</v>
      </c>
      <c r="L107" s="17">
        <v>1.7899999999999999E-2</v>
      </c>
      <c r="M107" s="17">
        <v>5.74E-2</v>
      </c>
      <c r="N107" s="17">
        <v>5.6000000000000001E-2</v>
      </c>
    </row>
    <row r="108" spans="1:14" x14ac:dyDescent="0.3">
      <c r="A108" s="18">
        <v>311628</v>
      </c>
      <c r="B108" s="18" t="s">
        <v>56</v>
      </c>
      <c r="C108" s="18" t="s">
        <v>56</v>
      </c>
      <c r="D108" s="18" t="s">
        <v>139</v>
      </c>
      <c r="E108" s="18">
        <v>6814514</v>
      </c>
      <c r="F108" s="18">
        <v>2.2800000000000001E-2</v>
      </c>
      <c r="G108" s="27" t="s">
        <v>43</v>
      </c>
      <c r="H108" s="27">
        <v>0.35499999999999998</v>
      </c>
      <c r="I108" s="18">
        <v>6.0000000000000001E-3</v>
      </c>
      <c r="J108" s="18">
        <v>9.7999999999999997E-3</v>
      </c>
      <c r="K108" s="18">
        <v>9.1600000000000001E-2</v>
      </c>
      <c r="L108" s="18">
        <v>1.32E-2</v>
      </c>
      <c r="M108" s="18">
        <v>4.2000000000000003E-2</v>
      </c>
      <c r="N108" s="18">
        <v>4.1000000000000002E-2</v>
      </c>
    </row>
    <row r="109" spans="1:14" x14ac:dyDescent="0.3">
      <c r="A109" s="17">
        <v>311627</v>
      </c>
      <c r="B109" s="17" t="s">
        <v>56</v>
      </c>
      <c r="C109" s="17" t="s">
        <v>56</v>
      </c>
      <c r="D109" s="17" t="s">
        <v>77</v>
      </c>
      <c r="E109" s="17">
        <v>6814514</v>
      </c>
      <c r="F109" s="17">
        <v>4.7199999999999999E-2</v>
      </c>
      <c r="G109" s="26" t="s">
        <v>43</v>
      </c>
      <c r="H109" s="26">
        <v>0.35499999999999998</v>
      </c>
      <c r="I109" s="17">
        <v>1.23E-2</v>
      </c>
      <c r="J109" s="17">
        <v>2.0299999999999999E-2</v>
      </c>
      <c r="K109" s="17">
        <v>0.18959999999999999</v>
      </c>
      <c r="L109" s="17">
        <v>2.7199999999999998E-2</v>
      </c>
      <c r="M109" s="17">
        <v>8.6999999999999994E-2</v>
      </c>
      <c r="N109" s="17">
        <v>8.4900000000000003E-2</v>
      </c>
    </row>
    <row r="110" spans="1:14" x14ac:dyDescent="0.3">
      <c r="A110" s="18">
        <v>311477</v>
      </c>
      <c r="B110" s="18" t="s">
        <v>56</v>
      </c>
      <c r="C110" s="18" t="s">
        <v>56</v>
      </c>
      <c r="D110" s="18" t="s">
        <v>140</v>
      </c>
      <c r="E110" s="18" t="s">
        <v>141</v>
      </c>
      <c r="F110" s="18">
        <v>6.3600000000000004E-2</v>
      </c>
      <c r="G110" s="27" t="s">
        <v>18</v>
      </c>
      <c r="H110" s="27">
        <v>0.24099999999999999</v>
      </c>
      <c r="I110" s="18">
        <v>3.32E-2</v>
      </c>
      <c r="J110" s="18">
        <v>2.9000000000000001E-2</v>
      </c>
      <c r="K110" s="18">
        <v>0.2394</v>
      </c>
      <c r="L110" s="18">
        <v>5.33E-2</v>
      </c>
      <c r="M110" s="18">
        <v>0.11890000000000001</v>
      </c>
      <c r="N110" s="18">
        <v>0.111</v>
      </c>
    </row>
    <row r="111" spans="1:14" x14ac:dyDescent="0.3">
      <c r="A111" s="17">
        <v>311476</v>
      </c>
      <c r="B111" s="17" t="s">
        <v>56</v>
      </c>
      <c r="C111" s="17" t="s">
        <v>56</v>
      </c>
      <c r="D111" s="17">
        <v>6819281</v>
      </c>
      <c r="E111" s="17" t="s">
        <v>140</v>
      </c>
      <c r="F111" s="17">
        <v>5.3600000000000002E-2</v>
      </c>
      <c r="G111" s="26" t="s">
        <v>18</v>
      </c>
      <c r="H111" s="26">
        <v>0.24099999999999999</v>
      </c>
      <c r="I111" s="17">
        <v>2.8000000000000001E-2</v>
      </c>
      <c r="J111" s="17">
        <v>2.4500000000000001E-2</v>
      </c>
      <c r="K111" s="17">
        <v>0.2021</v>
      </c>
      <c r="L111" s="17">
        <v>4.4999999999999998E-2</v>
      </c>
      <c r="M111" s="17">
        <v>0.1003</v>
      </c>
      <c r="N111" s="17">
        <v>9.3700000000000006E-2</v>
      </c>
    </row>
    <row r="112" spans="1:14" x14ac:dyDescent="0.3">
      <c r="A112" s="18">
        <v>311475</v>
      </c>
      <c r="B112" s="18" t="s">
        <v>56</v>
      </c>
      <c r="C112" s="18" t="s">
        <v>56</v>
      </c>
      <c r="D112" s="18">
        <v>6819214</v>
      </c>
      <c r="E112" s="18">
        <v>6819281</v>
      </c>
      <c r="F112" s="18">
        <v>3.7199999999999997E-2</v>
      </c>
      <c r="G112" s="27" t="s">
        <v>18</v>
      </c>
      <c r="H112" s="27">
        <v>0.24099999999999999</v>
      </c>
      <c r="I112" s="18">
        <v>1.9400000000000001E-2</v>
      </c>
      <c r="J112" s="18">
        <v>1.7000000000000001E-2</v>
      </c>
      <c r="K112" s="18">
        <v>0.14000000000000001</v>
      </c>
      <c r="L112" s="18">
        <v>3.1199999999999999E-2</v>
      </c>
      <c r="M112" s="18">
        <v>6.9500000000000006E-2</v>
      </c>
      <c r="N112" s="18">
        <v>6.4899999999999999E-2</v>
      </c>
    </row>
    <row r="113" spans="1:14" x14ac:dyDescent="0.3">
      <c r="A113" s="17">
        <v>311473</v>
      </c>
      <c r="B113" s="17" t="s">
        <v>56</v>
      </c>
      <c r="C113" s="17" t="s">
        <v>56</v>
      </c>
      <c r="D113" s="17" t="s">
        <v>142</v>
      </c>
      <c r="E113" s="17">
        <v>6819214</v>
      </c>
      <c r="F113" s="17">
        <v>3.3399999999999999E-2</v>
      </c>
      <c r="G113" s="26" t="s">
        <v>18</v>
      </c>
      <c r="H113" s="26">
        <v>0.24099999999999999</v>
      </c>
      <c r="I113" s="17">
        <v>1.7399999999999999E-2</v>
      </c>
      <c r="J113" s="17">
        <v>1.52E-2</v>
      </c>
      <c r="K113" s="17">
        <v>0.1258</v>
      </c>
      <c r="L113" s="17">
        <v>2.8000000000000001E-2</v>
      </c>
      <c r="M113" s="17">
        <v>6.2399999999999997E-2</v>
      </c>
      <c r="N113" s="17">
        <v>5.8299999999999998E-2</v>
      </c>
    </row>
    <row r="114" spans="1:14" x14ac:dyDescent="0.3">
      <c r="A114" s="18">
        <v>311471</v>
      </c>
      <c r="B114" s="18" t="s">
        <v>56</v>
      </c>
      <c r="C114" s="18" t="s">
        <v>56</v>
      </c>
      <c r="D114" s="18" t="s">
        <v>143</v>
      </c>
      <c r="E114" s="18" t="s">
        <v>142</v>
      </c>
      <c r="F114" s="18">
        <v>3.3300000000000003E-2</v>
      </c>
      <c r="G114" s="27" t="s">
        <v>18</v>
      </c>
      <c r="H114" s="27">
        <v>0.24099999999999999</v>
      </c>
      <c r="I114" s="18">
        <v>1.7399999999999999E-2</v>
      </c>
      <c r="J114" s="18">
        <v>1.52E-2</v>
      </c>
      <c r="K114" s="18">
        <v>0.1255</v>
      </c>
      <c r="L114" s="18">
        <v>2.7900000000000001E-2</v>
      </c>
      <c r="M114" s="18">
        <v>6.2300000000000001E-2</v>
      </c>
      <c r="N114" s="18">
        <v>5.8200000000000002E-2</v>
      </c>
    </row>
    <row r="115" spans="1:14" x14ac:dyDescent="0.3">
      <c r="A115" s="17">
        <v>311469</v>
      </c>
      <c r="B115" s="17" t="s">
        <v>56</v>
      </c>
      <c r="C115" s="17" t="s">
        <v>56</v>
      </c>
      <c r="D115" s="17" t="s">
        <v>144</v>
      </c>
      <c r="E115" s="17" t="s">
        <v>145</v>
      </c>
      <c r="F115" s="17">
        <v>7.8200000000000006E-2</v>
      </c>
      <c r="G115" s="26" t="s">
        <v>20</v>
      </c>
      <c r="H115" s="26">
        <v>0.24099999999999999</v>
      </c>
      <c r="I115" s="17">
        <v>4.0899999999999999E-2</v>
      </c>
      <c r="J115" s="17">
        <v>3.4299999999999997E-2</v>
      </c>
      <c r="K115" s="17">
        <v>0.30480000000000002</v>
      </c>
      <c r="L115" s="17">
        <v>5.74E-2</v>
      </c>
      <c r="M115" s="17">
        <v>0.11070000000000001</v>
      </c>
      <c r="N115" s="17">
        <v>0.16270000000000001</v>
      </c>
    </row>
    <row r="116" spans="1:14" x14ac:dyDescent="0.3">
      <c r="A116" s="18">
        <v>311467</v>
      </c>
      <c r="B116" s="18" t="s">
        <v>56</v>
      </c>
      <c r="C116" s="18" t="s">
        <v>56</v>
      </c>
      <c r="D116" s="18" t="s">
        <v>73</v>
      </c>
      <c r="E116" s="18" t="s">
        <v>98</v>
      </c>
      <c r="F116" s="18">
        <v>3.8699999999999998E-2</v>
      </c>
      <c r="G116" s="27" t="s">
        <v>18</v>
      </c>
      <c r="H116" s="27">
        <v>0.24099999999999999</v>
      </c>
      <c r="I116" s="18">
        <v>2.0199999999999999E-2</v>
      </c>
      <c r="J116" s="18">
        <v>1.77E-2</v>
      </c>
      <c r="K116" s="18">
        <v>0.14580000000000001</v>
      </c>
      <c r="L116" s="18">
        <v>3.2399999999999998E-2</v>
      </c>
      <c r="M116" s="18">
        <v>7.2400000000000006E-2</v>
      </c>
      <c r="N116" s="18">
        <v>6.7599999999999993E-2</v>
      </c>
    </row>
    <row r="117" spans="1:14" x14ac:dyDescent="0.3">
      <c r="A117" s="17">
        <v>311453</v>
      </c>
      <c r="B117" s="17" t="s">
        <v>56</v>
      </c>
      <c r="C117" s="17" t="s">
        <v>56</v>
      </c>
      <c r="D117" s="17" t="s">
        <v>135</v>
      </c>
      <c r="E117" s="17">
        <v>6819109</v>
      </c>
      <c r="F117" s="17">
        <v>3.61E-2</v>
      </c>
      <c r="G117" s="26" t="s">
        <v>19</v>
      </c>
      <c r="H117" s="26">
        <v>0.27500000000000002</v>
      </c>
      <c r="I117" s="17">
        <v>1.4999999999999999E-2</v>
      </c>
      <c r="J117" s="17">
        <v>1.6199999999999999E-2</v>
      </c>
      <c r="K117" s="17">
        <v>0.13880000000000001</v>
      </c>
      <c r="L117" s="17">
        <v>2.64E-2</v>
      </c>
      <c r="M117" s="17">
        <v>6.7199999999999996E-2</v>
      </c>
      <c r="N117" s="17">
        <v>6.3700000000000007E-2</v>
      </c>
    </row>
    <row r="118" spans="1:14" x14ac:dyDescent="0.3">
      <c r="A118" s="18">
        <v>311397</v>
      </c>
      <c r="B118" s="18" t="s">
        <v>56</v>
      </c>
      <c r="C118" s="18" t="s">
        <v>56</v>
      </c>
      <c r="D118" s="18" t="s">
        <v>68</v>
      </c>
      <c r="E118" s="18" t="s">
        <v>146</v>
      </c>
      <c r="F118" s="18">
        <v>3.44E-2</v>
      </c>
      <c r="G118" s="27" t="s">
        <v>62</v>
      </c>
      <c r="H118" s="27">
        <v>0.46500000000000002</v>
      </c>
      <c r="I118" s="18">
        <v>7.3000000000000001E-3</v>
      </c>
      <c r="J118" s="18">
        <v>1.18E-2</v>
      </c>
      <c r="K118" s="18">
        <v>0.20039999999999999</v>
      </c>
      <c r="L118" s="18">
        <v>1.34E-2</v>
      </c>
      <c r="M118" s="18">
        <v>0.16200000000000001</v>
      </c>
      <c r="N118" s="18">
        <v>4.6600000000000003E-2</v>
      </c>
    </row>
    <row r="119" spans="1:14" x14ac:dyDescent="0.3">
      <c r="A119" s="17">
        <v>311394</v>
      </c>
      <c r="B119" s="17" t="s">
        <v>56</v>
      </c>
      <c r="C119" s="17" t="s">
        <v>56</v>
      </c>
      <c r="D119" s="17">
        <v>6841040</v>
      </c>
      <c r="E119" s="17" t="s">
        <v>111</v>
      </c>
      <c r="F119" s="17">
        <v>3.8300000000000001E-2</v>
      </c>
      <c r="G119" s="26" t="s">
        <v>17</v>
      </c>
      <c r="H119" s="26">
        <v>0.184</v>
      </c>
      <c r="I119" s="17">
        <v>3.1800000000000002E-2</v>
      </c>
      <c r="J119" s="17">
        <v>1.8200000000000001E-2</v>
      </c>
      <c r="K119" s="17">
        <v>0.13850000000000001</v>
      </c>
      <c r="L119" s="17">
        <v>4.3900000000000002E-2</v>
      </c>
      <c r="M119" s="17">
        <v>7.2300000000000003E-2</v>
      </c>
      <c r="N119" s="17">
        <v>6.5600000000000006E-2</v>
      </c>
    </row>
    <row r="120" spans="1:14" x14ac:dyDescent="0.3">
      <c r="A120" s="18">
        <v>311384</v>
      </c>
      <c r="B120" s="18" t="s">
        <v>56</v>
      </c>
      <c r="C120" s="18" t="s">
        <v>56</v>
      </c>
      <c r="D120" s="18" t="s">
        <v>147</v>
      </c>
      <c r="E120" s="18">
        <v>6840931</v>
      </c>
      <c r="F120" s="18">
        <v>3.8899999999999997E-2</v>
      </c>
      <c r="G120" s="27" t="s">
        <v>17</v>
      </c>
      <c r="H120" s="27">
        <v>0.184</v>
      </c>
      <c r="I120" s="18">
        <v>3.2300000000000002E-2</v>
      </c>
      <c r="J120" s="18">
        <v>1.84E-2</v>
      </c>
      <c r="K120" s="18">
        <v>0.14050000000000001</v>
      </c>
      <c r="L120" s="18">
        <v>4.4499999999999998E-2</v>
      </c>
      <c r="M120" s="18">
        <v>7.3400000000000007E-2</v>
      </c>
      <c r="N120" s="18">
        <v>6.6600000000000006E-2</v>
      </c>
    </row>
    <row r="121" spans="1:14" x14ac:dyDescent="0.3">
      <c r="A121" s="17">
        <v>311382</v>
      </c>
      <c r="B121" s="17" t="s">
        <v>56</v>
      </c>
      <c r="C121" s="17" t="s">
        <v>56</v>
      </c>
      <c r="D121" s="17">
        <v>9787704</v>
      </c>
      <c r="E121" s="17" t="s">
        <v>148</v>
      </c>
      <c r="F121" s="17">
        <v>3.2300000000000002E-2</v>
      </c>
      <c r="G121" s="26" t="s">
        <v>17</v>
      </c>
      <c r="H121" s="26">
        <v>0.184</v>
      </c>
      <c r="I121" s="17">
        <v>2.6800000000000001E-2</v>
      </c>
      <c r="J121" s="17">
        <v>1.5299999999999999E-2</v>
      </c>
      <c r="K121" s="17">
        <v>0.1167</v>
      </c>
      <c r="L121" s="17">
        <v>3.6999999999999998E-2</v>
      </c>
      <c r="M121" s="17">
        <v>6.0999999999999999E-2</v>
      </c>
      <c r="N121" s="17">
        <v>5.5300000000000002E-2</v>
      </c>
    </row>
    <row r="122" spans="1:14" x14ac:dyDescent="0.3">
      <c r="A122" s="18">
        <v>311380</v>
      </c>
      <c r="B122" s="18" t="s">
        <v>56</v>
      </c>
      <c r="C122" s="18" t="s">
        <v>56</v>
      </c>
      <c r="D122" s="18" t="s">
        <v>149</v>
      </c>
      <c r="E122" s="18" t="s">
        <v>103</v>
      </c>
      <c r="F122" s="18">
        <v>8.3999999999999995E-3</v>
      </c>
      <c r="G122" s="27" t="s">
        <v>17</v>
      </c>
      <c r="H122" s="27">
        <v>0.184</v>
      </c>
      <c r="I122" s="18">
        <v>7.0000000000000001E-3</v>
      </c>
      <c r="J122" s="18">
        <v>4.0000000000000001E-3</v>
      </c>
      <c r="K122" s="18">
        <v>3.0499999999999999E-2</v>
      </c>
      <c r="L122" s="18">
        <v>9.7000000000000003E-3</v>
      </c>
      <c r="M122" s="18">
        <v>1.6E-2</v>
      </c>
      <c r="N122" s="18">
        <v>1.4500000000000001E-2</v>
      </c>
    </row>
    <row r="123" spans="1:14" x14ac:dyDescent="0.3">
      <c r="A123" s="17">
        <v>311379</v>
      </c>
      <c r="B123" s="17" t="s">
        <v>56</v>
      </c>
      <c r="C123" s="17" t="s">
        <v>56</v>
      </c>
      <c r="D123" s="17">
        <v>6820948</v>
      </c>
      <c r="E123" s="17" t="s">
        <v>149</v>
      </c>
      <c r="F123" s="17">
        <v>4.9399999999999999E-2</v>
      </c>
      <c r="G123" s="26" t="s">
        <v>18</v>
      </c>
      <c r="H123" s="26">
        <v>0.24099999999999999</v>
      </c>
      <c r="I123" s="17">
        <v>2.58E-2</v>
      </c>
      <c r="J123" s="17">
        <v>2.2499999999999999E-2</v>
      </c>
      <c r="K123" s="17">
        <v>0.186</v>
      </c>
      <c r="L123" s="17">
        <v>4.1399999999999999E-2</v>
      </c>
      <c r="M123" s="17">
        <v>9.2399999999999996E-2</v>
      </c>
      <c r="N123" s="17">
        <v>8.6300000000000002E-2</v>
      </c>
    </row>
    <row r="124" spans="1:14" x14ac:dyDescent="0.3">
      <c r="A124" s="18">
        <v>311378</v>
      </c>
      <c r="B124" s="18" t="s">
        <v>56</v>
      </c>
      <c r="C124" s="18" t="s">
        <v>56</v>
      </c>
      <c r="D124" s="18" t="s">
        <v>150</v>
      </c>
      <c r="E124" s="18">
        <v>6820948</v>
      </c>
      <c r="F124" s="18">
        <v>2.9000000000000001E-2</v>
      </c>
      <c r="G124" s="27" t="s">
        <v>17</v>
      </c>
      <c r="H124" s="27">
        <v>0.184</v>
      </c>
      <c r="I124" s="18">
        <v>2.4E-2</v>
      </c>
      <c r="J124" s="18">
        <v>1.37E-2</v>
      </c>
      <c r="K124" s="18">
        <v>0.1047</v>
      </c>
      <c r="L124" s="18">
        <v>3.32E-2</v>
      </c>
      <c r="M124" s="18">
        <v>5.4699999999999999E-2</v>
      </c>
      <c r="N124" s="18">
        <v>4.9599999999999998E-2</v>
      </c>
    </row>
    <row r="125" spans="1:14" x14ac:dyDescent="0.3">
      <c r="A125" s="17">
        <v>311371</v>
      </c>
      <c r="B125" s="17" t="s">
        <v>56</v>
      </c>
      <c r="C125" s="17" t="s">
        <v>56</v>
      </c>
      <c r="D125" s="17" t="s">
        <v>151</v>
      </c>
      <c r="E125" s="17">
        <v>6820999</v>
      </c>
      <c r="F125" s="17">
        <v>4.5199999999999997E-2</v>
      </c>
      <c r="G125" s="26" t="s">
        <v>18</v>
      </c>
      <c r="H125" s="26">
        <v>0.24099999999999999</v>
      </c>
      <c r="I125" s="17">
        <v>2.3599999999999999E-2</v>
      </c>
      <c r="J125" s="17">
        <v>2.06E-2</v>
      </c>
      <c r="K125" s="17">
        <v>0.17030000000000001</v>
      </c>
      <c r="L125" s="17">
        <v>3.7900000000000003E-2</v>
      </c>
      <c r="M125" s="17">
        <v>8.4500000000000006E-2</v>
      </c>
      <c r="N125" s="17">
        <v>7.9000000000000001E-2</v>
      </c>
    </row>
    <row r="126" spans="1:14" x14ac:dyDescent="0.3">
      <c r="A126" s="18">
        <v>311370</v>
      </c>
      <c r="B126" s="18" t="s">
        <v>56</v>
      </c>
      <c r="C126" s="18" t="s">
        <v>56</v>
      </c>
      <c r="D126" s="18">
        <v>6820999</v>
      </c>
      <c r="E126" s="18">
        <v>6820981</v>
      </c>
      <c r="F126" s="18">
        <v>6.3299999999999995E-2</v>
      </c>
      <c r="G126" s="27" t="s">
        <v>18</v>
      </c>
      <c r="H126" s="27">
        <v>0.24099999999999999</v>
      </c>
      <c r="I126" s="18">
        <v>3.3099999999999997E-2</v>
      </c>
      <c r="J126" s="18">
        <v>2.8899999999999999E-2</v>
      </c>
      <c r="K126" s="18">
        <v>0.23830000000000001</v>
      </c>
      <c r="L126" s="18">
        <v>5.2999999999999999E-2</v>
      </c>
      <c r="M126" s="18">
        <v>0.1183</v>
      </c>
      <c r="N126" s="18">
        <v>0.1105</v>
      </c>
    </row>
    <row r="127" spans="1:14" x14ac:dyDescent="0.3">
      <c r="A127" s="17">
        <v>311369</v>
      </c>
      <c r="B127" s="17" t="s">
        <v>56</v>
      </c>
      <c r="C127" s="17" t="s">
        <v>56</v>
      </c>
      <c r="D127" s="17" t="s">
        <v>82</v>
      </c>
      <c r="E127" s="17">
        <v>6820981</v>
      </c>
      <c r="F127" s="17">
        <v>2.24E-2</v>
      </c>
      <c r="G127" s="26" t="s">
        <v>18</v>
      </c>
      <c r="H127" s="26">
        <v>0.24099999999999999</v>
      </c>
      <c r="I127" s="17">
        <v>1.17E-2</v>
      </c>
      <c r="J127" s="17">
        <v>1.0200000000000001E-2</v>
      </c>
      <c r="K127" s="17">
        <v>8.4400000000000003E-2</v>
      </c>
      <c r="L127" s="17">
        <v>1.8800000000000001E-2</v>
      </c>
      <c r="M127" s="17">
        <v>4.19E-2</v>
      </c>
      <c r="N127" s="17">
        <v>3.9100000000000003E-2</v>
      </c>
    </row>
    <row r="128" spans="1:14" x14ac:dyDescent="0.3">
      <c r="A128" s="18">
        <v>311365</v>
      </c>
      <c r="B128" s="18" t="s">
        <v>56</v>
      </c>
      <c r="C128" s="18" t="s">
        <v>56</v>
      </c>
      <c r="D128" s="18" t="s">
        <v>152</v>
      </c>
      <c r="E128" s="18" t="s">
        <v>153</v>
      </c>
      <c r="F128" s="18">
        <v>3.5700000000000003E-2</v>
      </c>
      <c r="G128" s="27" t="s">
        <v>154</v>
      </c>
      <c r="H128" s="27">
        <v>0.13900000000000001</v>
      </c>
      <c r="I128" s="18">
        <v>4.7100000000000003E-2</v>
      </c>
      <c r="J128" s="18">
        <v>1.7500000000000002E-2</v>
      </c>
      <c r="K128" s="18">
        <v>0.1241</v>
      </c>
      <c r="L128" s="18">
        <v>5.8400000000000001E-2</v>
      </c>
      <c r="M128" s="18">
        <v>6.8000000000000005E-2</v>
      </c>
      <c r="N128" s="18">
        <v>6.0100000000000001E-2</v>
      </c>
    </row>
    <row r="129" spans="1:14" x14ac:dyDescent="0.3">
      <c r="A129" s="17">
        <v>311358</v>
      </c>
      <c r="B129" s="17" t="s">
        <v>56</v>
      </c>
      <c r="C129" s="17" t="s">
        <v>56</v>
      </c>
      <c r="D129" s="17" t="s">
        <v>155</v>
      </c>
      <c r="E129" s="17" t="s">
        <v>156</v>
      </c>
      <c r="F129" s="17">
        <v>1.61E-2</v>
      </c>
      <c r="G129" s="26" t="s">
        <v>18</v>
      </c>
      <c r="H129" s="26">
        <v>0.24099999999999999</v>
      </c>
      <c r="I129" s="17">
        <v>8.3999999999999995E-3</v>
      </c>
      <c r="J129" s="17">
        <v>7.3000000000000001E-3</v>
      </c>
      <c r="K129" s="17">
        <v>6.0499999999999998E-2</v>
      </c>
      <c r="L129" s="17">
        <v>1.35E-2</v>
      </c>
      <c r="M129" s="17">
        <v>0.03</v>
      </c>
      <c r="N129" s="17">
        <v>2.81E-2</v>
      </c>
    </row>
    <row r="130" spans="1:14" x14ac:dyDescent="0.3">
      <c r="A130" s="18">
        <v>311357</v>
      </c>
      <c r="B130" s="18" t="s">
        <v>56</v>
      </c>
      <c r="C130" s="18" t="s">
        <v>56</v>
      </c>
      <c r="D130" s="18" t="s">
        <v>157</v>
      </c>
      <c r="E130" s="18" t="s">
        <v>156</v>
      </c>
      <c r="F130" s="18">
        <v>3.0700000000000002E-2</v>
      </c>
      <c r="G130" s="27" t="s">
        <v>18</v>
      </c>
      <c r="H130" s="27">
        <v>0.24099999999999999</v>
      </c>
      <c r="I130" s="18">
        <v>1.6E-2</v>
      </c>
      <c r="J130" s="18">
        <v>1.4E-2</v>
      </c>
      <c r="K130" s="18">
        <v>0.11559999999999999</v>
      </c>
      <c r="L130" s="18">
        <v>2.5700000000000001E-2</v>
      </c>
      <c r="M130" s="18">
        <v>5.74E-2</v>
      </c>
      <c r="N130" s="18">
        <v>5.3600000000000002E-2</v>
      </c>
    </row>
    <row r="131" spans="1:14" x14ac:dyDescent="0.3">
      <c r="A131" s="17">
        <v>311355</v>
      </c>
      <c r="B131" s="17" t="s">
        <v>56</v>
      </c>
      <c r="C131" s="17" t="s">
        <v>56</v>
      </c>
      <c r="D131" s="17">
        <v>6841244</v>
      </c>
      <c r="E131" s="17" t="s">
        <v>158</v>
      </c>
      <c r="F131" s="17">
        <v>3.0700000000000002E-2</v>
      </c>
      <c r="G131" s="26" t="s">
        <v>18</v>
      </c>
      <c r="H131" s="26">
        <v>0.24099999999999999</v>
      </c>
      <c r="I131" s="17">
        <v>1.6E-2</v>
      </c>
      <c r="J131" s="17">
        <v>1.4E-2</v>
      </c>
      <c r="K131" s="17">
        <v>0.11559999999999999</v>
      </c>
      <c r="L131" s="17">
        <v>2.5700000000000001E-2</v>
      </c>
      <c r="M131" s="17">
        <v>5.74E-2</v>
      </c>
      <c r="N131" s="17">
        <v>5.3600000000000002E-2</v>
      </c>
    </row>
    <row r="132" spans="1:14" x14ac:dyDescent="0.3">
      <c r="A132" s="18">
        <v>311353</v>
      </c>
      <c r="B132" s="18" t="s">
        <v>56</v>
      </c>
      <c r="C132" s="18" t="s">
        <v>56</v>
      </c>
      <c r="D132" s="18" t="s">
        <v>159</v>
      </c>
      <c r="E132" s="18">
        <v>6841244</v>
      </c>
      <c r="F132" s="18">
        <v>1.5699999999999999E-2</v>
      </c>
      <c r="G132" s="27" t="s">
        <v>18</v>
      </c>
      <c r="H132" s="27">
        <v>0.24099999999999999</v>
      </c>
      <c r="I132" s="18">
        <v>8.2000000000000007E-3</v>
      </c>
      <c r="J132" s="18">
        <v>7.1999999999999998E-3</v>
      </c>
      <c r="K132" s="18">
        <v>5.8999999999999997E-2</v>
      </c>
      <c r="L132" s="18">
        <v>1.3100000000000001E-2</v>
      </c>
      <c r="M132" s="18">
        <v>2.93E-2</v>
      </c>
      <c r="N132" s="18">
        <v>2.7400000000000001E-2</v>
      </c>
    </row>
    <row r="133" spans="1:14" x14ac:dyDescent="0.3">
      <c r="A133" s="17">
        <v>311350</v>
      </c>
      <c r="B133" s="17" t="s">
        <v>56</v>
      </c>
      <c r="C133" s="17" t="s">
        <v>56</v>
      </c>
      <c r="D133" s="17">
        <v>6841074</v>
      </c>
      <c r="E133" s="17" t="s">
        <v>160</v>
      </c>
      <c r="F133" s="17">
        <v>3.4099999999999998E-2</v>
      </c>
      <c r="G133" s="26" t="s">
        <v>18</v>
      </c>
      <c r="H133" s="26">
        <v>0.24099999999999999</v>
      </c>
      <c r="I133" s="17">
        <v>1.78E-2</v>
      </c>
      <c r="J133" s="17">
        <v>1.5599999999999999E-2</v>
      </c>
      <c r="K133" s="17">
        <v>0.12839999999999999</v>
      </c>
      <c r="L133" s="17">
        <v>2.86E-2</v>
      </c>
      <c r="M133" s="17">
        <v>6.3700000000000007E-2</v>
      </c>
      <c r="N133" s="17">
        <v>5.9499999999999997E-2</v>
      </c>
    </row>
    <row r="134" spans="1:14" x14ac:dyDescent="0.3">
      <c r="A134" s="18">
        <v>311349</v>
      </c>
      <c r="B134" s="18" t="s">
        <v>56</v>
      </c>
      <c r="C134" s="18" t="s">
        <v>56</v>
      </c>
      <c r="D134" s="18">
        <v>6821081</v>
      </c>
      <c r="E134" s="18">
        <v>6841074</v>
      </c>
      <c r="F134" s="18">
        <v>3.9899999999999998E-2</v>
      </c>
      <c r="G134" s="27" t="s">
        <v>18</v>
      </c>
      <c r="H134" s="27">
        <v>0.24099999999999999</v>
      </c>
      <c r="I134" s="18">
        <v>2.0899999999999998E-2</v>
      </c>
      <c r="J134" s="18">
        <v>1.8200000000000001E-2</v>
      </c>
      <c r="K134" s="18">
        <v>0.15040000000000001</v>
      </c>
      <c r="L134" s="18">
        <v>3.3500000000000002E-2</v>
      </c>
      <c r="M134" s="18">
        <v>7.4700000000000003E-2</v>
      </c>
      <c r="N134" s="18">
        <v>6.9699999999999998E-2</v>
      </c>
    </row>
    <row r="135" spans="1:14" x14ac:dyDescent="0.3">
      <c r="A135" s="17">
        <v>311337</v>
      </c>
      <c r="B135" s="17" t="s">
        <v>56</v>
      </c>
      <c r="C135" s="17" t="s">
        <v>56</v>
      </c>
      <c r="D135" s="17">
        <v>9787704</v>
      </c>
      <c r="E135" s="17">
        <v>9787712</v>
      </c>
      <c r="F135" s="17">
        <v>3.3700000000000001E-2</v>
      </c>
      <c r="G135" s="26" t="s">
        <v>62</v>
      </c>
      <c r="H135" s="26">
        <v>0.46500000000000002</v>
      </c>
      <c r="I135" s="17">
        <v>7.1999999999999998E-3</v>
      </c>
      <c r="J135" s="17">
        <v>1.15E-2</v>
      </c>
      <c r="K135" s="17">
        <v>0.19600000000000001</v>
      </c>
      <c r="L135" s="17">
        <v>1.3100000000000001E-2</v>
      </c>
      <c r="M135" s="17">
        <v>0.1585</v>
      </c>
      <c r="N135" s="17">
        <v>4.5600000000000002E-2</v>
      </c>
    </row>
    <row r="136" spans="1:14" x14ac:dyDescent="0.3">
      <c r="A136" s="18">
        <v>311336</v>
      </c>
      <c r="B136" s="18" t="s">
        <v>56</v>
      </c>
      <c r="C136" s="18" t="s">
        <v>56</v>
      </c>
      <c r="D136" s="18" t="s">
        <v>161</v>
      </c>
      <c r="E136" s="18">
        <v>9787704</v>
      </c>
      <c r="F136" s="18">
        <v>2.3E-3</v>
      </c>
      <c r="G136" s="27" t="s">
        <v>17</v>
      </c>
      <c r="H136" s="27">
        <v>0.184</v>
      </c>
      <c r="I136" s="18">
        <v>1.9E-3</v>
      </c>
      <c r="J136" s="18">
        <v>1.1000000000000001E-3</v>
      </c>
      <c r="K136" s="18">
        <v>8.3000000000000001E-3</v>
      </c>
      <c r="L136" s="18">
        <v>2.5999999999999999E-3</v>
      </c>
      <c r="M136" s="18">
        <v>4.3E-3</v>
      </c>
      <c r="N136" s="18">
        <v>3.8999999999999998E-3</v>
      </c>
    </row>
    <row r="137" spans="1:14" x14ac:dyDescent="0.3">
      <c r="A137" s="17">
        <v>311331</v>
      </c>
      <c r="B137" s="17" t="s">
        <v>56</v>
      </c>
      <c r="C137" s="17" t="s">
        <v>56</v>
      </c>
      <c r="D137" s="17" t="s">
        <v>57</v>
      </c>
      <c r="E137" s="17" t="s">
        <v>162</v>
      </c>
      <c r="F137" s="17">
        <v>3.5700000000000003E-2</v>
      </c>
      <c r="G137" s="26" t="s">
        <v>43</v>
      </c>
      <c r="H137" s="26">
        <v>0.35499999999999998</v>
      </c>
      <c r="I137" s="17">
        <v>9.2999999999999992E-3</v>
      </c>
      <c r="J137" s="17">
        <v>1.5299999999999999E-2</v>
      </c>
      <c r="K137" s="17">
        <v>0.1434</v>
      </c>
      <c r="L137" s="17">
        <v>2.06E-2</v>
      </c>
      <c r="M137" s="17">
        <v>6.5799999999999997E-2</v>
      </c>
      <c r="N137" s="17">
        <v>6.4199999999999993E-2</v>
      </c>
    </row>
    <row r="138" spans="1:14" x14ac:dyDescent="0.3">
      <c r="A138" s="18">
        <v>311075</v>
      </c>
      <c r="B138" s="18" t="s">
        <v>56</v>
      </c>
      <c r="C138" s="18" t="s">
        <v>56</v>
      </c>
      <c r="D138" s="18" t="s">
        <v>163</v>
      </c>
      <c r="E138" s="18">
        <v>9254846</v>
      </c>
      <c r="F138" s="18">
        <v>2.5600000000000001E-2</v>
      </c>
      <c r="G138" s="27" t="s">
        <v>18</v>
      </c>
      <c r="H138" s="27">
        <v>0.24099999999999999</v>
      </c>
      <c r="I138" s="18">
        <v>1.34E-2</v>
      </c>
      <c r="J138" s="18">
        <v>1.17E-2</v>
      </c>
      <c r="K138" s="18">
        <v>9.6500000000000002E-2</v>
      </c>
      <c r="L138" s="18">
        <v>2.1499999999999998E-2</v>
      </c>
      <c r="M138" s="18">
        <v>4.7899999999999998E-2</v>
      </c>
      <c r="N138" s="18">
        <v>4.4699999999999997E-2</v>
      </c>
    </row>
    <row r="139" spans="1:14" x14ac:dyDescent="0.3">
      <c r="A139" s="17">
        <v>311074</v>
      </c>
      <c r="B139" s="17" t="s">
        <v>56</v>
      </c>
      <c r="C139" s="17" t="s">
        <v>56</v>
      </c>
      <c r="D139" s="17">
        <v>9254846</v>
      </c>
      <c r="E139" s="17" t="s">
        <v>164</v>
      </c>
      <c r="F139" s="17">
        <v>2.7E-2</v>
      </c>
      <c r="G139" s="26" t="s">
        <v>18</v>
      </c>
      <c r="H139" s="26">
        <v>0.24099999999999999</v>
      </c>
      <c r="I139" s="17">
        <v>1.41E-2</v>
      </c>
      <c r="J139" s="17">
        <v>1.23E-2</v>
      </c>
      <c r="K139" s="17">
        <v>0.1016</v>
      </c>
      <c r="L139" s="17">
        <v>2.2599999999999999E-2</v>
      </c>
      <c r="M139" s="17">
        <v>5.04E-2</v>
      </c>
      <c r="N139" s="17">
        <v>4.7100000000000003E-2</v>
      </c>
    </row>
    <row r="140" spans="1:14" x14ac:dyDescent="0.3">
      <c r="A140" s="18">
        <v>311069</v>
      </c>
      <c r="B140" s="18" t="s">
        <v>56</v>
      </c>
      <c r="C140" s="18" t="s">
        <v>56</v>
      </c>
      <c r="D140" s="18">
        <v>6814425</v>
      </c>
      <c r="E140" s="18" t="s">
        <v>165</v>
      </c>
      <c r="F140" s="18">
        <v>5.4899999999999997E-2</v>
      </c>
      <c r="G140" s="27" t="s">
        <v>43</v>
      </c>
      <c r="H140" s="27">
        <v>0.35499999999999998</v>
      </c>
      <c r="I140" s="18">
        <v>1.44E-2</v>
      </c>
      <c r="J140" s="18">
        <v>2.3599999999999999E-2</v>
      </c>
      <c r="K140" s="18">
        <v>0.22070000000000001</v>
      </c>
      <c r="L140" s="18">
        <v>3.1699999999999999E-2</v>
      </c>
      <c r="M140" s="18">
        <v>0.1012</v>
      </c>
      <c r="N140" s="18">
        <v>9.8799999999999999E-2</v>
      </c>
    </row>
    <row r="141" spans="1:14" x14ac:dyDescent="0.3">
      <c r="A141" s="17">
        <v>311068</v>
      </c>
      <c r="B141" s="17" t="s">
        <v>56</v>
      </c>
      <c r="C141" s="17" t="s">
        <v>56</v>
      </c>
      <c r="D141" s="17">
        <v>6814425</v>
      </c>
      <c r="E141" s="17" t="s">
        <v>166</v>
      </c>
      <c r="F141" s="17">
        <v>4.1599999999999998E-2</v>
      </c>
      <c r="G141" s="26" t="s">
        <v>43</v>
      </c>
      <c r="H141" s="26">
        <v>0.35499999999999998</v>
      </c>
      <c r="I141" s="17">
        <v>1.09E-2</v>
      </c>
      <c r="J141" s="17">
        <v>1.7899999999999999E-2</v>
      </c>
      <c r="K141" s="17">
        <v>0.1671</v>
      </c>
      <c r="L141" s="17">
        <v>2.4E-2</v>
      </c>
      <c r="M141" s="17">
        <v>7.6700000000000004E-2</v>
      </c>
      <c r="N141" s="17">
        <v>7.4800000000000005E-2</v>
      </c>
    </row>
    <row r="142" spans="1:14" x14ac:dyDescent="0.3">
      <c r="A142" s="18">
        <v>311066</v>
      </c>
      <c r="B142" s="18" t="s">
        <v>56</v>
      </c>
      <c r="C142" s="18" t="s">
        <v>56</v>
      </c>
      <c r="D142" s="18" t="s">
        <v>167</v>
      </c>
      <c r="E142" s="18">
        <v>9891765</v>
      </c>
      <c r="F142" s="18">
        <v>1.41E-2</v>
      </c>
      <c r="G142" s="27" t="s">
        <v>62</v>
      </c>
      <c r="H142" s="27">
        <v>0.46500000000000002</v>
      </c>
      <c r="I142" s="18">
        <v>3.0000000000000001E-3</v>
      </c>
      <c r="J142" s="18">
        <v>4.7999999999999996E-3</v>
      </c>
      <c r="K142" s="18">
        <v>8.1900000000000001E-2</v>
      </c>
      <c r="L142" s="18">
        <v>5.4999999999999997E-3</v>
      </c>
      <c r="M142" s="18">
        <v>6.6299999999999998E-2</v>
      </c>
      <c r="N142" s="18">
        <v>1.9099999999999999E-2</v>
      </c>
    </row>
    <row r="143" spans="1:14" x14ac:dyDescent="0.3">
      <c r="A143" s="17">
        <v>311061</v>
      </c>
      <c r="B143" s="17" t="s">
        <v>56</v>
      </c>
      <c r="C143" s="17" t="s">
        <v>56</v>
      </c>
      <c r="D143" s="17">
        <v>3073653</v>
      </c>
      <c r="E143" s="17">
        <v>9891731</v>
      </c>
      <c r="F143" s="17">
        <v>6.2300000000000001E-2</v>
      </c>
      <c r="G143" s="26" t="s">
        <v>61</v>
      </c>
      <c r="H143" s="26">
        <v>0.29499999999999998</v>
      </c>
      <c r="I143" s="17">
        <v>1.38E-2</v>
      </c>
      <c r="J143" s="17">
        <v>8.8000000000000005E-3</v>
      </c>
      <c r="K143" s="17">
        <v>0</v>
      </c>
      <c r="L143" s="17">
        <v>2.0799999999999999E-2</v>
      </c>
      <c r="M143" s="17">
        <v>2.23E-2</v>
      </c>
      <c r="N143" s="17">
        <v>0</v>
      </c>
    </row>
    <row r="144" spans="1:14" x14ac:dyDescent="0.3">
      <c r="A144" s="18">
        <v>311044</v>
      </c>
      <c r="B144" s="18" t="s">
        <v>56</v>
      </c>
      <c r="C144" s="18" t="s">
        <v>56</v>
      </c>
      <c r="D144" s="18" t="s">
        <v>162</v>
      </c>
      <c r="E144" s="18" t="s">
        <v>168</v>
      </c>
      <c r="F144" s="18">
        <v>1.5800000000000002E-2</v>
      </c>
      <c r="G144" s="27" t="s">
        <v>43</v>
      </c>
      <c r="H144" s="27">
        <v>0.35499999999999998</v>
      </c>
      <c r="I144" s="18">
        <v>4.1000000000000003E-3</v>
      </c>
      <c r="J144" s="18">
        <v>6.7999999999999996E-3</v>
      </c>
      <c r="K144" s="18">
        <v>6.3299999999999995E-2</v>
      </c>
      <c r="L144" s="18">
        <v>9.1000000000000004E-3</v>
      </c>
      <c r="M144" s="18">
        <v>2.9000000000000001E-2</v>
      </c>
      <c r="N144" s="18">
        <v>2.8299999999999999E-2</v>
      </c>
    </row>
    <row r="145" spans="1:14" x14ac:dyDescent="0.3">
      <c r="A145" s="17">
        <v>311040</v>
      </c>
      <c r="B145" s="17" t="s">
        <v>56</v>
      </c>
      <c r="C145" s="17" t="s">
        <v>56</v>
      </c>
      <c r="D145" s="17" t="s">
        <v>165</v>
      </c>
      <c r="E145" s="17" t="s">
        <v>75</v>
      </c>
      <c r="F145" s="17">
        <v>4.7699999999999999E-2</v>
      </c>
      <c r="G145" s="26" t="s">
        <v>43</v>
      </c>
      <c r="H145" s="26">
        <v>0.35499999999999998</v>
      </c>
      <c r="I145" s="17">
        <v>1.2500000000000001E-2</v>
      </c>
      <c r="J145" s="17">
        <v>2.0500000000000001E-2</v>
      </c>
      <c r="K145" s="17">
        <v>0.19170000000000001</v>
      </c>
      <c r="L145" s="17">
        <v>2.75E-2</v>
      </c>
      <c r="M145" s="17">
        <v>8.7999999999999995E-2</v>
      </c>
      <c r="N145" s="17">
        <v>8.5800000000000001E-2</v>
      </c>
    </row>
    <row r="146" spans="1:14" x14ac:dyDescent="0.3">
      <c r="A146" s="18">
        <v>830214</v>
      </c>
      <c r="B146" s="18">
        <v>9838503</v>
      </c>
      <c r="C146" s="18" t="s">
        <v>56</v>
      </c>
      <c r="D146" s="18" t="s">
        <v>63</v>
      </c>
      <c r="E146" s="18" t="s">
        <v>79</v>
      </c>
      <c r="F146" s="18">
        <v>1.1999999999999999E-3</v>
      </c>
      <c r="G146" s="27" t="s">
        <v>19</v>
      </c>
      <c r="H146" s="27">
        <v>0.27500000000000002</v>
      </c>
      <c r="I146" s="18">
        <v>5.0000000000000001E-4</v>
      </c>
      <c r="J146" s="18">
        <v>5.0000000000000001E-4</v>
      </c>
      <c r="K146" s="18">
        <v>4.5999999999999999E-3</v>
      </c>
      <c r="L146" s="18">
        <v>8.9999999999999998E-4</v>
      </c>
      <c r="M146" s="18">
        <v>2.2000000000000001E-3</v>
      </c>
      <c r="N146" s="18">
        <v>2.0999999999999999E-3</v>
      </c>
    </row>
    <row r="147" spans="1:14" x14ac:dyDescent="0.3">
      <c r="A147" s="17">
        <v>781000</v>
      </c>
      <c r="B147" s="17">
        <v>9838503</v>
      </c>
      <c r="C147" s="17" t="s">
        <v>56</v>
      </c>
      <c r="D147" s="17" t="s">
        <v>63</v>
      </c>
      <c r="E147" s="17" t="s">
        <v>81</v>
      </c>
      <c r="F147" s="17">
        <v>1.1999999999999999E-3</v>
      </c>
      <c r="G147" s="26" t="s">
        <v>62</v>
      </c>
      <c r="H147" s="26">
        <v>0.46500000000000002</v>
      </c>
      <c r="I147" s="17">
        <v>2.9999999999999997E-4</v>
      </c>
      <c r="J147" s="17">
        <v>4.0000000000000002E-4</v>
      </c>
      <c r="K147" s="17">
        <v>7.0000000000000001E-3</v>
      </c>
      <c r="L147" s="17">
        <v>5.0000000000000001E-4</v>
      </c>
      <c r="M147" s="17">
        <v>5.5999999999999999E-3</v>
      </c>
      <c r="N147" s="17">
        <v>1.6000000000000001E-3</v>
      </c>
    </row>
    <row r="148" spans="1:14" x14ac:dyDescent="0.3">
      <c r="A148" s="18">
        <v>788527</v>
      </c>
      <c r="B148" s="18">
        <v>7883188</v>
      </c>
      <c r="C148" s="18" t="s">
        <v>56</v>
      </c>
      <c r="D148" s="18" t="s">
        <v>89</v>
      </c>
      <c r="E148" s="18" t="s">
        <v>169</v>
      </c>
      <c r="F148" s="18">
        <v>1.1999999999999999E-3</v>
      </c>
      <c r="G148" s="27" t="s">
        <v>41</v>
      </c>
      <c r="H148" s="27">
        <v>0.155</v>
      </c>
      <c r="I148" s="18">
        <v>8.0000000000000004E-4</v>
      </c>
      <c r="J148" s="18">
        <v>5.0000000000000001E-4</v>
      </c>
      <c r="K148" s="18">
        <v>0</v>
      </c>
      <c r="L148" s="18">
        <v>1.2999999999999999E-3</v>
      </c>
      <c r="M148" s="18">
        <v>5.0000000000000001E-4</v>
      </c>
      <c r="N148" s="18">
        <v>0</v>
      </c>
    </row>
    <row r="149" spans="1:14" x14ac:dyDescent="0.3">
      <c r="A149" s="17">
        <v>311356</v>
      </c>
      <c r="B149" s="17">
        <v>6841171</v>
      </c>
      <c r="C149" s="17" t="s">
        <v>56</v>
      </c>
      <c r="D149" s="17" t="s">
        <v>158</v>
      </c>
      <c r="E149" s="17" t="s">
        <v>170</v>
      </c>
      <c r="F149" s="17">
        <v>1.1999999999999999E-3</v>
      </c>
      <c r="G149" s="26" t="s">
        <v>18</v>
      </c>
      <c r="H149" s="26">
        <v>0.24099999999999999</v>
      </c>
      <c r="I149" s="17">
        <v>5.9999999999999995E-4</v>
      </c>
      <c r="J149" s="17">
        <v>5.0000000000000001E-4</v>
      </c>
      <c r="K149" s="17">
        <v>4.4999999999999997E-3</v>
      </c>
      <c r="L149" s="17">
        <v>1E-3</v>
      </c>
      <c r="M149" s="17">
        <v>2.2000000000000001E-3</v>
      </c>
      <c r="N149" s="17">
        <v>2.0999999999999999E-3</v>
      </c>
    </row>
    <row r="150" spans="1:14" x14ac:dyDescent="0.3">
      <c r="A150" s="18">
        <v>311352</v>
      </c>
      <c r="B150" s="18">
        <v>6841155</v>
      </c>
      <c r="C150" s="18" t="s">
        <v>56</v>
      </c>
      <c r="D150" s="18" t="s">
        <v>160</v>
      </c>
      <c r="E150" s="18" t="s">
        <v>157</v>
      </c>
      <c r="F150" s="18">
        <v>1.1999999999999999E-3</v>
      </c>
      <c r="G150" s="27" t="s">
        <v>18</v>
      </c>
      <c r="H150" s="27">
        <v>0.24099999999999999</v>
      </c>
      <c r="I150" s="18">
        <v>5.9999999999999995E-4</v>
      </c>
      <c r="J150" s="18">
        <v>5.0000000000000001E-4</v>
      </c>
      <c r="K150" s="18">
        <v>4.4999999999999997E-3</v>
      </c>
      <c r="L150" s="18">
        <v>1E-3</v>
      </c>
      <c r="M150" s="18">
        <v>2.2000000000000001E-3</v>
      </c>
      <c r="N150" s="18">
        <v>2.0999999999999999E-3</v>
      </c>
    </row>
    <row r="151" spans="1:14" x14ac:dyDescent="0.3">
      <c r="A151" s="17">
        <v>311351</v>
      </c>
      <c r="B151" s="17">
        <v>6841155</v>
      </c>
      <c r="C151" s="17" t="s">
        <v>56</v>
      </c>
      <c r="D151" s="17" t="s">
        <v>160</v>
      </c>
      <c r="E151" s="17" t="s">
        <v>159</v>
      </c>
      <c r="F151" s="17">
        <v>1.1999999999999999E-3</v>
      </c>
      <c r="G151" s="26" t="s">
        <v>18</v>
      </c>
      <c r="H151" s="26">
        <v>0.24099999999999999</v>
      </c>
      <c r="I151" s="17">
        <v>5.9999999999999995E-4</v>
      </c>
      <c r="J151" s="17">
        <v>5.0000000000000001E-4</v>
      </c>
      <c r="K151" s="17">
        <v>4.4999999999999997E-3</v>
      </c>
      <c r="L151" s="17">
        <v>1E-3</v>
      </c>
      <c r="M151" s="17">
        <v>2.2000000000000001E-3</v>
      </c>
      <c r="N151" s="17">
        <v>2.0999999999999999E-3</v>
      </c>
    </row>
    <row r="152" spans="1:14" x14ac:dyDescent="0.3">
      <c r="A152" s="18">
        <v>311388</v>
      </c>
      <c r="B152" s="18">
        <v>6841031</v>
      </c>
      <c r="C152" s="18" t="s">
        <v>56</v>
      </c>
      <c r="D152" s="18" t="s">
        <v>171</v>
      </c>
      <c r="E152" s="18" t="s">
        <v>118</v>
      </c>
      <c r="F152" s="18">
        <v>1.1999999999999999E-3</v>
      </c>
      <c r="G152" s="27" t="s">
        <v>17</v>
      </c>
      <c r="H152" s="27">
        <v>0.184</v>
      </c>
      <c r="I152" s="18">
        <v>1E-3</v>
      </c>
      <c r="J152" s="18">
        <v>5.9999999999999995E-4</v>
      </c>
      <c r="K152" s="18">
        <v>4.3E-3</v>
      </c>
      <c r="L152" s="18">
        <v>1.4E-3</v>
      </c>
      <c r="M152" s="18">
        <v>2.3E-3</v>
      </c>
      <c r="N152" s="18">
        <v>2.0999999999999999E-3</v>
      </c>
    </row>
    <row r="153" spans="1:14" x14ac:dyDescent="0.3">
      <c r="A153" s="17">
        <v>311383</v>
      </c>
      <c r="B153" s="17">
        <v>6840841</v>
      </c>
      <c r="C153" s="17" t="s">
        <v>56</v>
      </c>
      <c r="D153" s="17" t="s">
        <v>148</v>
      </c>
      <c r="E153" s="17" t="s">
        <v>147</v>
      </c>
      <c r="F153" s="17">
        <v>1.1999999999999999E-3</v>
      </c>
      <c r="G153" s="26" t="s">
        <v>17</v>
      </c>
      <c r="H153" s="26">
        <v>0.184</v>
      </c>
      <c r="I153" s="17">
        <v>1E-3</v>
      </c>
      <c r="J153" s="17">
        <v>5.9999999999999995E-4</v>
      </c>
      <c r="K153" s="17">
        <v>4.3E-3</v>
      </c>
      <c r="L153" s="17">
        <v>1.4E-3</v>
      </c>
      <c r="M153" s="17">
        <v>2.3E-3</v>
      </c>
      <c r="N153" s="17">
        <v>2.0999999999999999E-3</v>
      </c>
    </row>
    <row r="154" spans="1:14" x14ac:dyDescent="0.3">
      <c r="A154" s="18">
        <v>318517</v>
      </c>
      <c r="B154" s="18">
        <v>6821031</v>
      </c>
      <c r="C154" s="18" t="s">
        <v>56</v>
      </c>
      <c r="D154" s="18" t="s">
        <v>105</v>
      </c>
      <c r="E154" s="18" t="s">
        <v>153</v>
      </c>
      <c r="F154" s="18">
        <v>1.1999999999999999E-3</v>
      </c>
      <c r="G154" s="27" t="s">
        <v>154</v>
      </c>
      <c r="H154" s="27">
        <v>0.13900000000000001</v>
      </c>
      <c r="I154" s="18">
        <v>1.6000000000000001E-3</v>
      </c>
      <c r="J154" s="18">
        <v>5.9999999999999995E-4</v>
      </c>
      <c r="K154" s="18">
        <v>4.1999999999999997E-3</v>
      </c>
      <c r="L154" s="18">
        <v>2E-3</v>
      </c>
      <c r="M154" s="18">
        <v>2.3E-3</v>
      </c>
      <c r="N154" s="18">
        <v>2E-3</v>
      </c>
    </row>
    <row r="155" spans="1:14" x14ac:dyDescent="0.3">
      <c r="A155" s="17">
        <v>311372</v>
      </c>
      <c r="B155" s="17">
        <v>6821006</v>
      </c>
      <c r="C155" s="17" t="s">
        <v>56</v>
      </c>
      <c r="D155" s="17" t="s">
        <v>172</v>
      </c>
      <c r="E155" s="17" t="s">
        <v>151</v>
      </c>
      <c r="F155" s="17">
        <v>1.1999999999999999E-3</v>
      </c>
      <c r="G155" s="26" t="s">
        <v>154</v>
      </c>
      <c r="H155" s="26">
        <v>0.13900000000000001</v>
      </c>
      <c r="I155" s="17">
        <v>1.6000000000000001E-3</v>
      </c>
      <c r="J155" s="17">
        <v>5.9999999999999995E-4</v>
      </c>
      <c r="K155" s="17">
        <v>4.1999999999999997E-3</v>
      </c>
      <c r="L155" s="17">
        <v>2E-3</v>
      </c>
      <c r="M155" s="17">
        <v>2.3E-3</v>
      </c>
      <c r="N155" s="17">
        <v>2E-3</v>
      </c>
    </row>
    <row r="156" spans="1:14" x14ac:dyDescent="0.3">
      <c r="A156" s="18">
        <v>311377</v>
      </c>
      <c r="B156" s="18">
        <v>6820930</v>
      </c>
      <c r="C156" s="18" t="s">
        <v>56</v>
      </c>
      <c r="D156" s="18" t="s">
        <v>97</v>
      </c>
      <c r="E156" s="18" t="s">
        <v>150</v>
      </c>
      <c r="F156" s="18">
        <v>1.1999999999999999E-3</v>
      </c>
      <c r="G156" s="27" t="s">
        <v>18</v>
      </c>
      <c r="H156" s="27">
        <v>0.24099999999999999</v>
      </c>
      <c r="I156" s="18">
        <v>5.9999999999999995E-4</v>
      </c>
      <c r="J156" s="18">
        <v>5.0000000000000001E-4</v>
      </c>
      <c r="K156" s="18">
        <v>4.4999999999999997E-3</v>
      </c>
      <c r="L156" s="18">
        <v>1E-3</v>
      </c>
      <c r="M156" s="18">
        <v>2.2000000000000001E-3</v>
      </c>
      <c r="N156" s="18">
        <v>2.0999999999999999E-3</v>
      </c>
    </row>
    <row r="157" spans="1:14" x14ac:dyDescent="0.3">
      <c r="A157" s="17">
        <v>311470</v>
      </c>
      <c r="B157" s="17">
        <v>6819249</v>
      </c>
      <c r="C157" s="17" t="s">
        <v>56</v>
      </c>
      <c r="D157" s="17" t="s">
        <v>143</v>
      </c>
      <c r="E157" s="17" t="s">
        <v>173</v>
      </c>
      <c r="F157" s="17">
        <v>1.1999999999999999E-3</v>
      </c>
      <c r="G157" s="26" t="s">
        <v>18</v>
      </c>
      <c r="H157" s="26">
        <v>0.24099999999999999</v>
      </c>
      <c r="I157" s="17">
        <v>5.9999999999999995E-4</v>
      </c>
      <c r="J157" s="17">
        <v>5.0000000000000001E-4</v>
      </c>
      <c r="K157" s="17">
        <v>4.4999999999999997E-3</v>
      </c>
      <c r="L157" s="17">
        <v>1E-3</v>
      </c>
      <c r="M157" s="17">
        <v>2.2000000000000001E-3</v>
      </c>
      <c r="N157" s="17">
        <v>2.0999999999999999E-3</v>
      </c>
    </row>
    <row r="158" spans="1:14" x14ac:dyDescent="0.3">
      <c r="A158" s="18">
        <v>311472</v>
      </c>
      <c r="B158" s="18">
        <v>6819231</v>
      </c>
      <c r="C158" s="18" t="s">
        <v>56</v>
      </c>
      <c r="D158" s="18" t="s">
        <v>142</v>
      </c>
      <c r="E158" s="18" t="s">
        <v>145</v>
      </c>
      <c r="F158" s="18">
        <v>1.1999999999999999E-3</v>
      </c>
      <c r="G158" s="27" t="s">
        <v>20</v>
      </c>
      <c r="H158" s="27">
        <v>0.24099999999999999</v>
      </c>
      <c r="I158" s="18">
        <v>5.9999999999999995E-4</v>
      </c>
      <c r="J158" s="18">
        <v>5.0000000000000001E-4</v>
      </c>
      <c r="K158" s="18">
        <v>4.7000000000000002E-3</v>
      </c>
      <c r="L158" s="18">
        <v>8.9999999999999998E-4</v>
      </c>
      <c r="M158" s="18">
        <v>1.6999999999999999E-3</v>
      </c>
      <c r="N158" s="18">
        <v>2.5000000000000001E-3</v>
      </c>
    </row>
    <row r="159" spans="1:14" x14ac:dyDescent="0.3">
      <c r="A159" s="17">
        <v>311466</v>
      </c>
      <c r="B159" s="17">
        <v>6817386</v>
      </c>
      <c r="C159" s="17" t="s">
        <v>56</v>
      </c>
      <c r="D159" s="17" t="s">
        <v>174</v>
      </c>
      <c r="E159" s="17" t="s">
        <v>73</v>
      </c>
      <c r="F159" s="17">
        <v>1.1999999999999999E-3</v>
      </c>
      <c r="G159" s="26" t="s">
        <v>18</v>
      </c>
      <c r="H159" s="26">
        <v>0.24099999999999999</v>
      </c>
      <c r="I159" s="17">
        <v>5.9999999999999995E-4</v>
      </c>
      <c r="J159" s="17">
        <v>5.0000000000000001E-4</v>
      </c>
      <c r="K159" s="17">
        <v>4.4999999999999997E-3</v>
      </c>
      <c r="L159" s="17">
        <v>1E-3</v>
      </c>
      <c r="M159" s="17">
        <v>2.2000000000000001E-3</v>
      </c>
      <c r="N159" s="17">
        <v>2.0999999999999999E-3</v>
      </c>
    </row>
    <row r="160" spans="1:14" x14ac:dyDescent="0.3">
      <c r="A160" s="18">
        <v>761461</v>
      </c>
      <c r="B160" s="18">
        <v>6814450</v>
      </c>
      <c r="C160" s="18" t="s">
        <v>56</v>
      </c>
      <c r="D160" s="18" t="s">
        <v>168</v>
      </c>
      <c r="E160" s="18" t="s">
        <v>74</v>
      </c>
      <c r="F160" s="18">
        <v>1.1999999999999999E-3</v>
      </c>
      <c r="G160" s="27" t="s">
        <v>43</v>
      </c>
      <c r="H160" s="27">
        <v>0.35499999999999998</v>
      </c>
      <c r="I160" s="18">
        <v>2.9999999999999997E-4</v>
      </c>
      <c r="J160" s="18">
        <v>5.0000000000000001E-4</v>
      </c>
      <c r="K160" s="18">
        <v>4.7999999999999996E-3</v>
      </c>
      <c r="L160" s="18">
        <v>6.9999999999999999E-4</v>
      </c>
      <c r="M160" s="18">
        <v>2.2000000000000001E-3</v>
      </c>
      <c r="N160" s="18">
        <v>2.2000000000000001E-3</v>
      </c>
    </row>
    <row r="161" spans="1:14" x14ac:dyDescent="0.3">
      <c r="A161" s="17">
        <v>311071</v>
      </c>
      <c r="B161" s="17">
        <v>6814433</v>
      </c>
      <c r="C161" s="17" t="s">
        <v>56</v>
      </c>
      <c r="D161" s="17" t="s">
        <v>121</v>
      </c>
      <c r="E161" s="17" t="s">
        <v>163</v>
      </c>
      <c r="F161" s="17">
        <v>1.1999999999999999E-3</v>
      </c>
      <c r="G161" s="26" t="s">
        <v>17</v>
      </c>
      <c r="H161" s="26">
        <v>0.184</v>
      </c>
      <c r="I161" s="17">
        <v>1E-3</v>
      </c>
      <c r="J161" s="17">
        <v>5.9999999999999995E-4</v>
      </c>
      <c r="K161" s="17">
        <v>4.3E-3</v>
      </c>
      <c r="L161" s="17">
        <v>1.4E-3</v>
      </c>
      <c r="M161" s="17">
        <v>2.3E-3</v>
      </c>
      <c r="N161" s="17">
        <v>2.0999999999999999E-3</v>
      </c>
    </row>
    <row r="162" spans="1:14" x14ac:dyDescent="0.3">
      <c r="A162" s="18">
        <v>311070</v>
      </c>
      <c r="B162" s="18">
        <v>6814433</v>
      </c>
      <c r="C162" s="18" t="s">
        <v>56</v>
      </c>
      <c r="D162" s="18" t="s">
        <v>165</v>
      </c>
      <c r="E162" s="18" t="s">
        <v>163</v>
      </c>
      <c r="F162" s="18">
        <v>1.1999999999999999E-3</v>
      </c>
      <c r="G162" s="27" t="s">
        <v>17</v>
      </c>
      <c r="H162" s="27">
        <v>0.184</v>
      </c>
      <c r="I162" s="18">
        <v>1E-3</v>
      </c>
      <c r="J162" s="18">
        <v>5.9999999999999995E-4</v>
      </c>
      <c r="K162" s="18">
        <v>4.3E-3</v>
      </c>
      <c r="L162" s="18">
        <v>1.4E-3</v>
      </c>
      <c r="M162" s="18">
        <v>2.3E-3</v>
      </c>
      <c r="N162" s="18">
        <v>2.0999999999999999E-3</v>
      </c>
    </row>
    <row r="163" spans="1:14" x14ac:dyDescent="0.3">
      <c r="A163" s="17">
        <v>781915</v>
      </c>
      <c r="B163" s="17">
        <v>6814417</v>
      </c>
      <c r="C163" s="17" t="s">
        <v>56</v>
      </c>
      <c r="D163" s="17" t="s">
        <v>166</v>
      </c>
      <c r="E163" s="17" t="s">
        <v>167</v>
      </c>
      <c r="F163" s="17">
        <v>1.1999999999999999E-3</v>
      </c>
      <c r="G163" s="26" t="s">
        <v>62</v>
      </c>
      <c r="H163" s="26">
        <v>0.46500000000000002</v>
      </c>
      <c r="I163" s="17">
        <v>2.9999999999999997E-4</v>
      </c>
      <c r="J163" s="17">
        <v>4.0000000000000002E-4</v>
      </c>
      <c r="K163" s="17">
        <v>7.0000000000000001E-3</v>
      </c>
      <c r="L163" s="17">
        <v>5.0000000000000001E-4</v>
      </c>
      <c r="M163" s="17">
        <v>5.5999999999999999E-3</v>
      </c>
      <c r="N163" s="17">
        <v>1.6000000000000001E-3</v>
      </c>
    </row>
    <row r="164" spans="1:14" x14ac:dyDescent="0.3">
      <c r="A164" s="18">
        <v>761459</v>
      </c>
      <c r="B164" s="18">
        <v>4929730</v>
      </c>
      <c r="C164" s="18" t="s">
        <v>56</v>
      </c>
      <c r="D164" s="18" t="s">
        <v>78</v>
      </c>
      <c r="E164" s="18" t="s">
        <v>76</v>
      </c>
      <c r="F164" s="18">
        <v>1.1999999999999999E-3</v>
      </c>
      <c r="G164" s="27" t="s">
        <v>19</v>
      </c>
      <c r="H164" s="27">
        <v>0.27500000000000002</v>
      </c>
      <c r="I164" s="18">
        <v>5.0000000000000001E-4</v>
      </c>
      <c r="J164" s="18">
        <v>5.0000000000000001E-4</v>
      </c>
      <c r="K164" s="18">
        <v>4.5999999999999999E-3</v>
      </c>
      <c r="L164" s="18">
        <v>8.9999999999999998E-4</v>
      </c>
      <c r="M164" s="18">
        <v>2.2000000000000001E-3</v>
      </c>
      <c r="N164" s="18">
        <v>2.0999999999999999E-3</v>
      </c>
    </row>
    <row r="165" spans="1:14" x14ac:dyDescent="0.3">
      <c r="A165" s="17">
        <v>715132</v>
      </c>
      <c r="B165" s="17">
        <v>4929527</v>
      </c>
      <c r="C165" s="17" t="s">
        <v>56</v>
      </c>
      <c r="D165" s="17" t="s">
        <v>128</v>
      </c>
      <c r="E165" s="17" t="s">
        <v>175</v>
      </c>
      <c r="F165" s="17">
        <v>1.1999999999999999E-3</v>
      </c>
      <c r="G165" s="26" t="s">
        <v>41</v>
      </c>
      <c r="H165" s="26">
        <v>0.155</v>
      </c>
      <c r="I165" s="17">
        <v>8.0000000000000004E-4</v>
      </c>
      <c r="J165" s="17">
        <v>5.0000000000000001E-4</v>
      </c>
      <c r="K165" s="17">
        <v>0</v>
      </c>
      <c r="L165" s="17">
        <v>1.2999999999999999E-3</v>
      </c>
      <c r="M165" s="17">
        <v>5.0000000000000001E-4</v>
      </c>
      <c r="N165" s="17">
        <v>0</v>
      </c>
    </row>
    <row r="166" spans="1:14" x14ac:dyDescent="0.3">
      <c r="A166" s="18" t="s">
        <v>176</v>
      </c>
      <c r="B166" s="18" t="s">
        <v>177</v>
      </c>
      <c r="C166" s="18" t="s">
        <v>177</v>
      </c>
      <c r="D166" s="18"/>
      <c r="E166" s="18"/>
      <c r="F166" s="18">
        <v>0.10100000000000001</v>
      </c>
      <c r="G166" s="27" t="s">
        <v>18</v>
      </c>
      <c r="H166" s="27">
        <v>0.24099999999999999</v>
      </c>
      <c r="I166" s="18">
        <v>5.28E-2</v>
      </c>
      <c r="J166" s="18">
        <v>4.6100000000000002E-2</v>
      </c>
      <c r="K166" s="18">
        <v>0.3805</v>
      </c>
      <c r="L166" s="18">
        <v>8.4699999999999998E-2</v>
      </c>
      <c r="M166" s="18">
        <v>0.18890000000000001</v>
      </c>
      <c r="N166" s="18">
        <v>0.17649999999999999</v>
      </c>
    </row>
    <row r="167" spans="1:14" x14ac:dyDescent="0.3">
      <c r="A167" s="17" t="s">
        <v>178</v>
      </c>
      <c r="B167" s="17" t="s">
        <v>177</v>
      </c>
      <c r="C167" s="17" t="s">
        <v>177</v>
      </c>
      <c r="D167" s="17"/>
      <c r="E167" s="17"/>
      <c r="F167" s="17">
        <v>7.0000000000000001E-3</v>
      </c>
      <c r="G167" s="26" t="s">
        <v>17</v>
      </c>
      <c r="H167" s="26">
        <v>0.184</v>
      </c>
      <c r="I167" s="17">
        <v>5.7999999999999996E-3</v>
      </c>
      <c r="J167" s="17">
        <v>3.3E-3</v>
      </c>
      <c r="K167" s="17">
        <v>2.53E-2</v>
      </c>
      <c r="L167" s="17">
        <v>8.0000000000000002E-3</v>
      </c>
      <c r="M167" s="17">
        <v>1.32E-2</v>
      </c>
      <c r="N167" s="17">
        <v>1.2E-2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D9B1-ECD2-47FE-BD44-EBCC95225E08}">
  <dimension ref="A1:T64"/>
  <sheetViews>
    <sheetView tabSelected="1" zoomScale="85" zoomScaleNormal="85" workbookViewId="0">
      <selection activeCell="S5" sqref="S5"/>
    </sheetView>
  </sheetViews>
  <sheetFormatPr baseColWidth="10" defaultColWidth="11.44140625" defaultRowHeight="14.4" x14ac:dyDescent="0.3"/>
  <cols>
    <col min="1" max="1" width="16.109375" customWidth="1"/>
    <col min="2" max="2" width="8.88671875" bestFit="1" customWidth="1"/>
    <col min="3" max="3" width="7.109375" bestFit="1" customWidth="1"/>
    <col min="4" max="4" width="8.88671875" bestFit="1" customWidth="1"/>
    <col min="5" max="5" width="11.5546875" bestFit="1" customWidth="1"/>
    <col min="6" max="7" width="9.33203125" bestFit="1" customWidth="1"/>
    <col min="9" max="9" width="12" bestFit="1" customWidth="1"/>
    <col min="10" max="10" width="13.5546875" bestFit="1" customWidth="1"/>
    <col min="12" max="12" width="18.44140625" style="24" customWidth="1"/>
    <col min="13" max="13" width="14.44140625" customWidth="1"/>
    <col min="14" max="14" width="13.44140625" customWidth="1"/>
    <col min="16" max="16" width="42.109375" customWidth="1"/>
    <col min="18" max="18" width="11.6640625" customWidth="1"/>
    <col min="20" max="20" width="22.5546875" customWidth="1"/>
  </cols>
  <sheetData>
    <row r="1" spans="1:20" ht="31.5" customHeight="1" x14ac:dyDescent="0.3">
      <c r="A1" s="16" t="s">
        <v>0</v>
      </c>
      <c r="B1" s="16" t="s">
        <v>52</v>
      </c>
      <c r="C1" s="16" t="s">
        <v>1</v>
      </c>
      <c r="D1" s="16" t="s">
        <v>21</v>
      </c>
      <c r="E1" s="16" t="s">
        <v>21</v>
      </c>
      <c r="F1" s="16" t="s">
        <v>22</v>
      </c>
      <c r="G1" s="16" t="s">
        <v>23</v>
      </c>
      <c r="I1" s="4" t="s">
        <v>24</v>
      </c>
      <c r="J1" s="5" t="s">
        <v>25</v>
      </c>
      <c r="K1" s="5" t="s">
        <v>26</v>
      </c>
      <c r="L1" s="21" t="s">
        <v>27</v>
      </c>
      <c r="M1" s="5" t="s">
        <v>28</v>
      </c>
      <c r="N1" s="6" t="s">
        <v>29</v>
      </c>
    </row>
    <row r="2" spans="1:20" x14ac:dyDescent="0.3">
      <c r="A2" s="16"/>
      <c r="B2" s="16"/>
      <c r="C2" s="16"/>
      <c r="D2" s="16" t="s">
        <v>30</v>
      </c>
      <c r="E2" s="16" t="s">
        <v>12</v>
      </c>
      <c r="F2" s="16" t="s">
        <v>31</v>
      </c>
      <c r="G2" s="16"/>
      <c r="I2" s="7" t="s">
        <v>304</v>
      </c>
      <c r="J2" s="8">
        <v>13.8</v>
      </c>
      <c r="K2" s="8" t="s">
        <v>305</v>
      </c>
      <c r="L2" s="22">
        <v>45832</v>
      </c>
      <c r="M2" s="19">
        <f>N2*1000/(SQRT(3)*13.8)</f>
        <v>64.150034160000004</v>
      </c>
      <c r="N2" s="19">
        <v>1.5333334349191072</v>
      </c>
      <c r="P2" s="10" t="s">
        <v>32</v>
      </c>
      <c r="Q2" s="11" t="s">
        <v>29</v>
      </c>
      <c r="R2" s="40" t="s">
        <v>33</v>
      </c>
      <c r="S2" s="41"/>
      <c r="T2" s="41"/>
    </row>
    <row r="3" spans="1:20" x14ac:dyDescent="0.3">
      <c r="A3" s="17" t="s">
        <v>179</v>
      </c>
      <c r="B3" s="17">
        <v>9838503</v>
      </c>
      <c r="C3" s="17" t="s">
        <v>56</v>
      </c>
      <c r="D3" s="17">
        <v>9838503</v>
      </c>
      <c r="E3" s="17" t="s">
        <v>180</v>
      </c>
      <c r="F3" s="17">
        <v>7.4999999999999997E-2</v>
      </c>
      <c r="G3" s="17">
        <v>0.9</v>
      </c>
      <c r="I3" s="9" t="s">
        <v>304</v>
      </c>
      <c r="J3" s="9">
        <v>13.8</v>
      </c>
      <c r="K3" s="9" t="s">
        <v>305</v>
      </c>
      <c r="L3" s="23">
        <v>45832.041666666664</v>
      </c>
      <c r="M3" s="20">
        <f t="shared" ref="M3:M25" si="0">N3*1000/(SQRT(3)*13.8)</f>
        <v>58.737729711999997</v>
      </c>
      <c r="N3" s="20">
        <v>1.403966904117562</v>
      </c>
      <c r="P3" s="12">
        <v>9</v>
      </c>
      <c r="Q3" s="13">
        <f>N11</f>
        <v>1.5083296921224469</v>
      </c>
      <c r="R3" s="14"/>
      <c r="S3" s="14"/>
      <c r="T3" s="14"/>
    </row>
    <row r="4" spans="1:20" x14ac:dyDescent="0.3">
      <c r="A4" s="18" t="s">
        <v>181</v>
      </c>
      <c r="B4" s="18">
        <v>9787691</v>
      </c>
      <c r="C4" s="18" t="s">
        <v>56</v>
      </c>
      <c r="D4" s="18">
        <v>9787691</v>
      </c>
      <c r="E4" s="18" t="s">
        <v>182</v>
      </c>
      <c r="F4" s="18">
        <v>0.1125</v>
      </c>
      <c r="G4" s="18">
        <v>0.9</v>
      </c>
      <c r="I4" s="7" t="s">
        <v>304</v>
      </c>
      <c r="J4" s="8">
        <v>13.8</v>
      </c>
      <c r="K4" s="8" t="s">
        <v>305</v>
      </c>
      <c r="L4" s="22">
        <v>45832.083333333336</v>
      </c>
      <c r="M4" s="19">
        <f t="shared" si="0"/>
        <v>53.922993470000002</v>
      </c>
      <c r="N4" s="19">
        <v>1.2888836285301783</v>
      </c>
      <c r="P4" s="12">
        <v>12</v>
      </c>
      <c r="Q4" s="15">
        <f>N14</f>
        <v>1.8636512699527361</v>
      </c>
      <c r="R4" s="14"/>
      <c r="S4" s="14"/>
      <c r="T4" s="14"/>
    </row>
    <row r="5" spans="1:20" x14ac:dyDescent="0.3">
      <c r="A5" s="17" t="s">
        <v>183</v>
      </c>
      <c r="B5" s="17">
        <v>9094253</v>
      </c>
      <c r="C5" s="17" t="s">
        <v>56</v>
      </c>
      <c r="D5" s="17">
        <v>9094253</v>
      </c>
      <c r="E5" s="17" t="s">
        <v>184</v>
      </c>
      <c r="F5" s="17">
        <v>0.1125</v>
      </c>
      <c r="G5" s="17">
        <v>0.9</v>
      </c>
      <c r="I5" s="9" t="s">
        <v>304</v>
      </c>
      <c r="J5" s="9">
        <v>13.8</v>
      </c>
      <c r="K5" s="9" t="s">
        <v>305</v>
      </c>
      <c r="L5" s="23">
        <v>45832.125</v>
      </c>
      <c r="M5" s="20">
        <f t="shared" si="0"/>
        <v>49.866530960000006</v>
      </c>
      <c r="N5" s="20">
        <v>1.1919248400349847</v>
      </c>
      <c r="P5" s="12">
        <v>15</v>
      </c>
      <c r="Q5" s="13">
        <f>N17</f>
        <v>2.1587254069952637</v>
      </c>
      <c r="R5" s="14"/>
      <c r="S5" s="14"/>
      <c r="T5" s="14"/>
    </row>
    <row r="6" spans="1:20" x14ac:dyDescent="0.3">
      <c r="A6" s="18" t="s">
        <v>185</v>
      </c>
      <c r="B6" s="18">
        <v>8989427</v>
      </c>
      <c r="C6" s="18" t="s">
        <v>56</v>
      </c>
      <c r="D6" s="18">
        <v>8989427</v>
      </c>
      <c r="E6" s="18" t="s">
        <v>186</v>
      </c>
      <c r="F6" s="18">
        <v>7.4999999999999997E-2</v>
      </c>
      <c r="G6" s="18">
        <v>0.9</v>
      </c>
      <c r="I6" s="7" t="s">
        <v>304</v>
      </c>
      <c r="J6" s="8">
        <v>13.8</v>
      </c>
      <c r="K6" s="8" t="s">
        <v>305</v>
      </c>
      <c r="L6" s="22">
        <v>45832.166666666664</v>
      </c>
      <c r="M6" s="19">
        <f t="shared" si="0"/>
        <v>46.310701394999896</v>
      </c>
      <c r="N6" s="19">
        <v>1.1069323309540118</v>
      </c>
    </row>
    <row r="7" spans="1:20" x14ac:dyDescent="0.3">
      <c r="A7" s="17" t="s">
        <v>187</v>
      </c>
      <c r="B7" s="17">
        <v>8871981</v>
      </c>
      <c r="C7" s="17" t="s">
        <v>56</v>
      </c>
      <c r="D7" s="17">
        <v>8871981</v>
      </c>
      <c r="E7" s="17" t="s">
        <v>188</v>
      </c>
      <c r="F7" s="17">
        <v>7.4999999999999997E-2</v>
      </c>
      <c r="G7" s="17">
        <v>0.9</v>
      </c>
      <c r="I7" s="9" t="s">
        <v>304</v>
      </c>
      <c r="J7" s="9">
        <v>13.8</v>
      </c>
      <c r="K7" s="9" t="s">
        <v>305</v>
      </c>
      <c r="L7" s="23">
        <v>45832.208333333336</v>
      </c>
      <c r="M7" s="20">
        <f t="shared" si="0"/>
        <v>43.439135</v>
      </c>
      <c r="N7" s="20">
        <v>1.0382952862244401</v>
      </c>
      <c r="P7" s="3" t="s">
        <v>44</v>
      </c>
      <c r="Q7" s="3">
        <v>7314612</v>
      </c>
    </row>
    <row r="8" spans="1:20" x14ac:dyDescent="0.3">
      <c r="A8" s="18" t="s">
        <v>189</v>
      </c>
      <c r="B8" s="18">
        <v>8814546</v>
      </c>
      <c r="C8" s="18" t="s">
        <v>56</v>
      </c>
      <c r="D8" s="18">
        <v>8814546</v>
      </c>
      <c r="E8" s="18" t="s">
        <v>190</v>
      </c>
      <c r="F8" s="18">
        <v>0.1125</v>
      </c>
      <c r="G8" s="18">
        <v>0.9</v>
      </c>
      <c r="I8" s="7" t="s">
        <v>304</v>
      </c>
      <c r="J8" s="8">
        <v>13.8</v>
      </c>
      <c r="K8" s="8" t="s">
        <v>305</v>
      </c>
      <c r="L8" s="22">
        <v>45832.25</v>
      </c>
      <c r="M8" s="19">
        <f t="shared" si="0"/>
        <v>41.012170554000001</v>
      </c>
      <c r="N8" s="19">
        <v>0.98028525116927367</v>
      </c>
    </row>
    <row r="9" spans="1:20" x14ac:dyDescent="0.3">
      <c r="A9" s="17" t="s">
        <v>191</v>
      </c>
      <c r="B9" s="17">
        <v>8295999</v>
      </c>
      <c r="C9" s="17" t="s">
        <v>56</v>
      </c>
      <c r="D9" s="17">
        <v>8295999</v>
      </c>
      <c r="E9" s="17" t="s">
        <v>192</v>
      </c>
      <c r="F9" s="17">
        <v>0.1125</v>
      </c>
      <c r="G9" s="17">
        <v>0.9</v>
      </c>
      <c r="I9" s="9" t="s">
        <v>304</v>
      </c>
      <c r="J9" s="9">
        <v>13.8</v>
      </c>
      <c r="K9" s="9" t="s">
        <v>305</v>
      </c>
      <c r="L9" s="23">
        <v>45832.291666666664</v>
      </c>
      <c r="M9" s="20">
        <f t="shared" si="0"/>
        <v>41.566187669999998</v>
      </c>
      <c r="N9" s="20">
        <v>0.99352753511508562</v>
      </c>
    </row>
    <row r="10" spans="1:20" x14ac:dyDescent="0.3">
      <c r="A10" s="18" t="s">
        <v>193</v>
      </c>
      <c r="B10" s="18">
        <v>7883170</v>
      </c>
      <c r="C10" s="18" t="s">
        <v>56</v>
      </c>
      <c r="D10" s="18">
        <v>7883170</v>
      </c>
      <c r="E10" s="18" t="s">
        <v>194</v>
      </c>
      <c r="F10" s="18">
        <v>7.4999999999999997E-2</v>
      </c>
      <c r="G10" s="18">
        <v>0.9</v>
      </c>
      <c r="I10" s="7" t="s">
        <v>304</v>
      </c>
      <c r="J10" s="8">
        <v>13.8</v>
      </c>
      <c r="K10" s="8" t="s">
        <v>305</v>
      </c>
      <c r="L10" s="22">
        <v>45832.333333333336</v>
      </c>
      <c r="M10" s="19">
        <f t="shared" si="0"/>
        <v>49.630800010000002</v>
      </c>
      <c r="N10" s="19">
        <v>1.1862903278790173</v>
      </c>
    </row>
    <row r="11" spans="1:20" x14ac:dyDescent="0.3">
      <c r="A11" s="17" t="s">
        <v>195</v>
      </c>
      <c r="B11" s="17">
        <v>7314612</v>
      </c>
      <c r="C11" s="17" t="s">
        <v>56</v>
      </c>
      <c r="D11" s="17">
        <v>7314612</v>
      </c>
      <c r="E11" s="17" t="s">
        <v>196</v>
      </c>
      <c r="F11" s="17">
        <v>0.3</v>
      </c>
      <c r="G11" s="17">
        <v>0.9</v>
      </c>
      <c r="I11" s="9" t="s">
        <v>304</v>
      </c>
      <c r="J11" s="9">
        <v>13.8</v>
      </c>
      <c r="K11" s="9" t="s">
        <v>305</v>
      </c>
      <c r="L11" s="23">
        <v>45832.375</v>
      </c>
      <c r="M11" s="20">
        <f t="shared" si="0"/>
        <v>63.103953172000004</v>
      </c>
      <c r="N11" s="20">
        <v>1.5083296921224469</v>
      </c>
      <c r="P11" s="2" t="s">
        <v>303</v>
      </c>
      <c r="Q11" s="14"/>
      <c r="R11" s="14"/>
      <c r="S11" s="14"/>
      <c r="T11" s="14"/>
    </row>
    <row r="12" spans="1:20" x14ac:dyDescent="0.3">
      <c r="A12" s="18" t="s">
        <v>197</v>
      </c>
      <c r="B12" s="18">
        <v>7184590</v>
      </c>
      <c r="C12" s="18" t="s">
        <v>56</v>
      </c>
      <c r="D12" s="18">
        <v>7184590</v>
      </c>
      <c r="E12" s="18" t="s">
        <v>198</v>
      </c>
      <c r="F12" s="18">
        <v>2.5000000000000001E-2</v>
      </c>
      <c r="G12" s="18">
        <v>0.9</v>
      </c>
      <c r="I12" s="7" t="s">
        <v>304</v>
      </c>
      <c r="J12" s="8">
        <v>13.8</v>
      </c>
      <c r="K12" s="8" t="s">
        <v>305</v>
      </c>
      <c r="L12" s="22">
        <v>45832.416666666664</v>
      </c>
      <c r="M12" s="19">
        <f t="shared" si="0"/>
        <v>73.374020145000003</v>
      </c>
      <c r="N12" s="19">
        <v>1.7538079256847683</v>
      </c>
      <c r="P12" s="1" t="s">
        <v>34</v>
      </c>
      <c r="Q12" s="1" t="s">
        <v>35</v>
      </c>
      <c r="R12" s="1" t="s">
        <v>36</v>
      </c>
      <c r="S12" s="1" t="s">
        <v>37</v>
      </c>
      <c r="T12" s="1" t="s">
        <v>38</v>
      </c>
    </row>
    <row r="13" spans="1:20" x14ac:dyDescent="0.3">
      <c r="A13" s="17" t="s">
        <v>199</v>
      </c>
      <c r="B13" s="17">
        <v>6894381</v>
      </c>
      <c r="C13" s="17" t="s">
        <v>56</v>
      </c>
      <c r="D13" s="17">
        <v>6894381</v>
      </c>
      <c r="E13" s="17" t="s">
        <v>200</v>
      </c>
      <c r="F13" s="17">
        <v>0.05</v>
      </c>
      <c r="G13" s="17">
        <v>0.9</v>
      </c>
      <c r="I13" s="9" t="s">
        <v>304</v>
      </c>
      <c r="J13" s="9">
        <v>13.8</v>
      </c>
      <c r="K13" s="9" t="s">
        <v>305</v>
      </c>
      <c r="L13" s="23">
        <v>45832.458333333336</v>
      </c>
      <c r="M13" s="20">
        <f t="shared" si="0"/>
        <v>76.901550544999907</v>
      </c>
      <c r="N13" s="20">
        <v>1.8381240196017699</v>
      </c>
      <c r="P13" s="1" t="s">
        <v>39</v>
      </c>
      <c r="Q13" s="26">
        <v>121</v>
      </c>
      <c r="R13" s="26">
        <v>5.0629999999999997</v>
      </c>
      <c r="S13" s="26">
        <v>13.552</v>
      </c>
      <c r="T13" s="26">
        <v>3.9E-2</v>
      </c>
    </row>
    <row r="14" spans="1:20" x14ac:dyDescent="0.3">
      <c r="A14" s="18" t="s">
        <v>201</v>
      </c>
      <c r="B14" s="18">
        <v>6894356</v>
      </c>
      <c r="C14" s="18" t="s">
        <v>56</v>
      </c>
      <c r="D14" s="18">
        <v>6894356</v>
      </c>
      <c r="E14" s="18" t="s">
        <v>202</v>
      </c>
      <c r="F14" s="18">
        <v>7.4999999999999997E-2</v>
      </c>
      <c r="G14" s="18">
        <v>0.9</v>
      </c>
      <c r="I14" s="7" t="s">
        <v>304</v>
      </c>
      <c r="J14" s="8">
        <v>13.8</v>
      </c>
      <c r="K14" s="8" t="s">
        <v>305</v>
      </c>
      <c r="L14" s="22">
        <v>45832.5</v>
      </c>
      <c r="M14" s="19">
        <f t="shared" si="0"/>
        <v>77.969533506000005</v>
      </c>
      <c r="N14" s="19">
        <v>1.8636512699527361</v>
      </c>
      <c r="P14" s="1" t="s">
        <v>40</v>
      </c>
      <c r="Q14" s="26">
        <v>42.4</v>
      </c>
      <c r="R14" s="26">
        <v>5.3170000000000002</v>
      </c>
      <c r="S14" s="26">
        <v>14.231999999999999</v>
      </c>
      <c r="T14" s="26">
        <v>3.9E-2</v>
      </c>
    </row>
    <row r="15" spans="1:20" x14ac:dyDescent="0.3">
      <c r="A15" s="17" t="s">
        <v>203</v>
      </c>
      <c r="B15" s="17">
        <v>6841180</v>
      </c>
      <c r="C15" s="17" t="s">
        <v>56</v>
      </c>
      <c r="D15" s="17">
        <v>6841180</v>
      </c>
      <c r="E15" s="17" t="s">
        <v>204</v>
      </c>
      <c r="F15" s="17">
        <v>0.1125</v>
      </c>
      <c r="G15" s="17">
        <v>0.9</v>
      </c>
      <c r="I15" s="9" t="s">
        <v>304</v>
      </c>
      <c r="J15" s="9">
        <v>13.8</v>
      </c>
      <c r="K15" s="9" t="s">
        <v>305</v>
      </c>
      <c r="L15" s="23">
        <v>45832.541666666664</v>
      </c>
      <c r="M15" s="20">
        <f t="shared" si="0"/>
        <v>70.445069043999993</v>
      </c>
      <c r="N15" s="20">
        <v>1.6837992544312961</v>
      </c>
    </row>
    <row r="16" spans="1:20" x14ac:dyDescent="0.3">
      <c r="A16" s="18" t="s">
        <v>205</v>
      </c>
      <c r="B16" s="18">
        <v>6841171</v>
      </c>
      <c r="C16" s="18" t="s">
        <v>56</v>
      </c>
      <c r="D16" s="18">
        <v>6841171</v>
      </c>
      <c r="E16" s="18" t="s">
        <v>206</v>
      </c>
      <c r="F16" s="18">
        <v>0.15</v>
      </c>
      <c r="G16" s="18">
        <v>0.9</v>
      </c>
      <c r="I16" s="7" t="s">
        <v>304</v>
      </c>
      <c r="J16" s="8">
        <v>13.8</v>
      </c>
      <c r="K16" s="8" t="s">
        <v>305</v>
      </c>
      <c r="L16" s="22">
        <v>45832.583333333336</v>
      </c>
      <c r="M16" s="19">
        <f t="shared" si="0"/>
        <v>74.158905774000004</v>
      </c>
      <c r="N16" s="19">
        <v>1.7725684983530778</v>
      </c>
    </row>
    <row r="17" spans="1:14" x14ac:dyDescent="0.3">
      <c r="A17" s="17" t="s">
        <v>207</v>
      </c>
      <c r="B17" s="17">
        <v>6841155</v>
      </c>
      <c r="C17" s="17" t="s">
        <v>56</v>
      </c>
      <c r="D17" s="17">
        <v>6841155</v>
      </c>
      <c r="E17" s="17" t="s">
        <v>208</v>
      </c>
      <c r="F17" s="17">
        <v>7.4999999999999997E-2</v>
      </c>
      <c r="G17" s="17">
        <v>0.9</v>
      </c>
      <c r="I17" s="9" t="s">
        <v>304</v>
      </c>
      <c r="J17" s="9">
        <v>13.8</v>
      </c>
      <c r="K17" s="9" t="s">
        <v>305</v>
      </c>
      <c r="L17" s="23">
        <v>45832.625</v>
      </c>
      <c r="M17" s="20">
        <f t="shared" si="0"/>
        <v>90.314543103999995</v>
      </c>
      <c r="N17" s="20">
        <v>2.1587254069952637</v>
      </c>
    </row>
    <row r="18" spans="1:14" x14ac:dyDescent="0.3">
      <c r="A18" s="18" t="s">
        <v>209</v>
      </c>
      <c r="B18" s="18">
        <v>6841091</v>
      </c>
      <c r="C18" s="18" t="s">
        <v>56</v>
      </c>
      <c r="D18" s="18">
        <v>6841091</v>
      </c>
      <c r="E18" s="18" t="s">
        <v>210</v>
      </c>
      <c r="F18" s="18">
        <v>7.4999999999999997E-2</v>
      </c>
      <c r="G18" s="18">
        <v>0.9</v>
      </c>
      <c r="I18" s="7" t="s">
        <v>304</v>
      </c>
      <c r="J18" s="8">
        <v>13.8</v>
      </c>
      <c r="K18" s="8" t="s">
        <v>305</v>
      </c>
      <c r="L18" s="22">
        <v>45832.666666666664</v>
      </c>
      <c r="M18" s="19">
        <f t="shared" si="0"/>
        <v>95.407283101999994</v>
      </c>
      <c r="N18" s="19">
        <v>2.280453612077848</v>
      </c>
    </row>
    <row r="19" spans="1:14" x14ac:dyDescent="0.3">
      <c r="A19" s="17" t="s">
        <v>211</v>
      </c>
      <c r="B19" s="17">
        <v>6841031</v>
      </c>
      <c r="C19" s="17" t="s">
        <v>56</v>
      </c>
      <c r="D19" s="17">
        <v>6841031</v>
      </c>
      <c r="E19" s="17" t="s">
        <v>212</v>
      </c>
      <c r="F19" s="17">
        <v>7.4999999999999997E-2</v>
      </c>
      <c r="G19" s="17">
        <v>0.9</v>
      </c>
      <c r="I19" s="9" t="s">
        <v>304</v>
      </c>
      <c r="J19" s="9">
        <v>13.8</v>
      </c>
      <c r="K19" s="9" t="s">
        <v>305</v>
      </c>
      <c r="L19" s="23">
        <v>45832.708333333336</v>
      </c>
      <c r="M19" s="20">
        <f t="shared" si="0"/>
        <v>96.597730323999997</v>
      </c>
      <c r="N19" s="20">
        <v>2.3089080400746664</v>
      </c>
    </row>
    <row r="20" spans="1:14" x14ac:dyDescent="0.3">
      <c r="A20" s="18" t="s">
        <v>213</v>
      </c>
      <c r="B20" s="18">
        <v>6840973</v>
      </c>
      <c r="C20" s="18" t="s">
        <v>56</v>
      </c>
      <c r="D20" s="18">
        <v>6840973</v>
      </c>
      <c r="E20" s="18" t="s">
        <v>214</v>
      </c>
      <c r="F20" s="18">
        <v>7.4999999999999997E-2</v>
      </c>
      <c r="G20" s="18">
        <v>0.9</v>
      </c>
      <c r="I20" s="7" t="s">
        <v>304</v>
      </c>
      <c r="J20" s="8">
        <v>13.8</v>
      </c>
      <c r="K20" s="8" t="s">
        <v>305</v>
      </c>
      <c r="L20" s="22">
        <v>45832.75</v>
      </c>
      <c r="M20" s="19">
        <f t="shared" si="0"/>
        <v>92.342655699999995</v>
      </c>
      <c r="N20" s="19">
        <v>2.207201965019709</v>
      </c>
    </row>
    <row r="21" spans="1:14" x14ac:dyDescent="0.3">
      <c r="A21" s="17" t="s">
        <v>215</v>
      </c>
      <c r="B21" s="17">
        <v>6840884</v>
      </c>
      <c r="C21" s="17" t="s">
        <v>56</v>
      </c>
      <c r="D21" s="17">
        <v>6840884</v>
      </c>
      <c r="E21" s="17" t="s">
        <v>216</v>
      </c>
      <c r="F21" s="17">
        <v>7.4999999999999997E-2</v>
      </c>
      <c r="G21" s="17">
        <v>0.9</v>
      </c>
      <c r="I21" s="9" t="s">
        <v>304</v>
      </c>
      <c r="J21" s="9">
        <v>13.8</v>
      </c>
      <c r="K21" s="9" t="s">
        <v>305</v>
      </c>
      <c r="L21" s="23">
        <v>45832.791666666664</v>
      </c>
      <c r="M21" s="20">
        <f t="shared" si="0"/>
        <v>84.409202184000009</v>
      </c>
      <c r="N21" s="20">
        <v>2.0175741699647776</v>
      </c>
    </row>
    <row r="22" spans="1:14" x14ac:dyDescent="0.3">
      <c r="A22" s="18" t="s">
        <v>217</v>
      </c>
      <c r="B22" s="18">
        <v>6840841</v>
      </c>
      <c r="C22" s="18" t="s">
        <v>56</v>
      </c>
      <c r="D22" s="18">
        <v>6840841</v>
      </c>
      <c r="E22" s="18" t="s">
        <v>218</v>
      </c>
      <c r="F22" s="18">
        <v>0.1125</v>
      </c>
      <c r="G22" s="18">
        <v>0.9</v>
      </c>
      <c r="I22" s="7" t="s">
        <v>304</v>
      </c>
      <c r="J22" s="8">
        <v>13.8</v>
      </c>
      <c r="K22" s="8" t="s">
        <v>305</v>
      </c>
      <c r="L22" s="22">
        <v>45832.833333333336</v>
      </c>
      <c r="M22" s="19">
        <f t="shared" si="0"/>
        <v>77.170279238000006</v>
      </c>
      <c r="N22" s="19">
        <v>1.8445472537480128</v>
      </c>
    </row>
    <row r="23" spans="1:14" x14ac:dyDescent="0.3">
      <c r="A23" s="17" t="s">
        <v>219</v>
      </c>
      <c r="B23" s="17">
        <v>6840531</v>
      </c>
      <c r="C23" s="17" t="s">
        <v>56</v>
      </c>
      <c r="D23" s="17">
        <v>6840531</v>
      </c>
      <c r="E23" s="17" t="s">
        <v>220</v>
      </c>
      <c r="F23" s="17">
        <v>0.03</v>
      </c>
      <c r="G23" s="17">
        <v>0.9</v>
      </c>
      <c r="I23" s="9" t="s">
        <v>304</v>
      </c>
      <c r="J23" s="9">
        <v>13.8</v>
      </c>
      <c r="K23" s="9" t="s">
        <v>305</v>
      </c>
      <c r="L23" s="23">
        <v>45832.875</v>
      </c>
      <c r="M23" s="20">
        <f t="shared" si="0"/>
        <v>72.906003330000004</v>
      </c>
      <c r="N23" s="20">
        <v>1.7426212468319715</v>
      </c>
    </row>
    <row r="24" spans="1:14" x14ac:dyDescent="0.3">
      <c r="A24" s="18" t="s">
        <v>221</v>
      </c>
      <c r="B24" s="18">
        <v>6821057</v>
      </c>
      <c r="C24" s="18" t="s">
        <v>56</v>
      </c>
      <c r="D24" s="18">
        <v>6821057</v>
      </c>
      <c r="E24" s="18" t="s">
        <v>222</v>
      </c>
      <c r="F24" s="18">
        <v>7.4999999999999997E-2</v>
      </c>
      <c r="G24" s="18">
        <v>0.9</v>
      </c>
      <c r="I24" s="7" t="s">
        <v>304</v>
      </c>
      <c r="J24" s="8">
        <v>13.8</v>
      </c>
      <c r="K24" s="8" t="s">
        <v>305</v>
      </c>
      <c r="L24" s="22">
        <v>45832.916666666664</v>
      </c>
      <c r="M24" s="19">
        <f t="shared" si="0"/>
        <v>70.982863339999994</v>
      </c>
      <c r="N24" s="19">
        <v>1.696653775648056</v>
      </c>
    </row>
    <row r="25" spans="1:14" x14ac:dyDescent="0.3">
      <c r="A25" s="17" t="s">
        <v>223</v>
      </c>
      <c r="B25" s="17">
        <v>6821031</v>
      </c>
      <c r="C25" s="17" t="s">
        <v>56</v>
      </c>
      <c r="D25" s="17">
        <v>6821031</v>
      </c>
      <c r="E25" s="17" t="s">
        <v>224</v>
      </c>
      <c r="F25" s="17">
        <v>0.1125</v>
      </c>
      <c r="G25" s="17">
        <v>0.9</v>
      </c>
      <c r="I25" s="9" t="s">
        <v>304</v>
      </c>
      <c r="J25" s="9">
        <v>13.8</v>
      </c>
      <c r="K25" s="9" t="s">
        <v>305</v>
      </c>
      <c r="L25" s="23">
        <v>45832.958333333336</v>
      </c>
      <c r="M25" s="20">
        <f t="shared" si="0"/>
        <v>68.401845829999999</v>
      </c>
      <c r="N25" s="20">
        <v>1.6349615178649362</v>
      </c>
    </row>
    <row r="26" spans="1:14" ht="15" thickBot="1" x14ac:dyDescent="0.35">
      <c r="A26" s="18" t="s">
        <v>225</v>
      </c>
      <c r="B26" s="18">
        <v>6821022</v>
      </c>
      <c r="C26" s="18" t="s">
        <v>56</v>
      </c>
      <c r="D26" s="18">
        <v>6821022</v>
      </c>
      <c r="E26" s="18" t="s">
        <v>226</v>
      </c>
      <c r="F26" s="18">
        <v>7.4999999999999997E-2</v>
      </c>
      <c r="G26" s="18">
        <v>0.9</v>
      </c>
    </row>
    <row r="27" spans="1:14" ht="15" customHeight="1" x14ac:dyDescent="0.3">
      <c r="A27" s="17" t="s">
        <v>227</v>
      </c>
      <c r="B27" s="17">
        <v>6821006</v>
      </c>
      <c r="C27" s="17" t="s">
        <v>56</v>
      </c>
      <c r="D27" s="17">
        <v>6821006</v>
      </c>
      <c r="E27" s="17" t="s">
        <v>228</v>
      </c>
      <c r="F27" s="17">
        <v>0.1125</v>
      </c>
      <c r="G27" s="17">
        <v>0.9</v>
      </c>
      <c r="I27" s="48" t="s">
        <v>306</v>
      </c>
      <c r="J27" s="49"/>
      <c r="K27" s="49"/>
      <c r="L27" s="49"/>
      <c r="M27" s="50"/>
    </row>
    <row r="28" spans="1:14" x14ac:dyDescent="0.3">
      <c r="A28" s="18" t="s">
        <v>229</v>
      </c>
      <c r="B28" s="18">
        <v>6820956</v>
      </c>
      <c r="C28" s="18" t="s">
        <v>56</v>
      </c>
      <c r="D28" s="18">
        <v>6820956</v>
      </c>
      <c r="E28" s="18" t="s">
        <v>230</v>
      </c>
      <c r="F28" s="18">
        <v>0.03</v>
      </c>
      <c r="G28" s="18">
        <v>0.9</v>
      </c>
      <c r="I28" s="42"/>
      <c r="J28" s="43"/>
      <c r="K28" s="43"/>
      <c r="L28" s="43"/>
      <c r="M28" s="44"/>
    </row>
    <row r="29" spans="1:14" x14ac:dyDescent="0.3">
      <c r="A29" s="17" t="s">
        <v>231</v>
      </c>
      <c r="B29" s="17">
        <v>6819303</v>
      </c>
      <c r="C29" s="17" t="s">
        <v>56</v>
      </c>
      <c r="D29" s="17">
        <v>6819303</v>
      </c>
      <c r="E29" s="17" t="s">
        <v>232</v>
      </c>
      <c r="F29" s="17">
        <v>0.05</v>
      </c>
      <c r="G29" s="17">
        <v>0.9</v>
      </c>
      <c r="I29" s="42" t="s">
        <v>54</v>
      </c>
      <c r="J29" s="43"/>
      <c r="K29" s="43"/>
      <c r="L29" s="43"/>
      <c r="M29" s="44"/>
    </row>
    <row r="30" spans="1:14" x14ac:dyDescent="0.3">
      <c r="A30" s="18" t="s">
        <v>233</v>
      </c>
      <c r="B30" s="18">
        <v>6819290</v>
      </c>
      <c r="C30" s="18" t="s">
        <v>56</v>
      </c>
      <c r="D30" s="18">
        <v>6819290</v>
      </c>
      <c r="E30" s="18" t="s">
        <v>234</v>
      </c>
      <c r="F30" s="18">
        <v>0.1125</v>
      </c>
      <c r="G30" s="18">
        <v>0.9</v>
      </c>
      <c r="I30" s="42" t="s">
        <v>55</v>
      </c>
      <c r="J30" s="43"/>
      <c r="K30" s="43"/>
      <c r="L30" s="43"/>
      <c r="M30" s="44"/>
    </row>
    <row r="31" spans="1:14" ht="15" thickBot="1" x14ac:dyDescent="0.35">
      <c r="A31" s="17" t="s">
        <v>235</v>
      </c>
      <c r="B31" s="17">
        <v>6819273</v>
      </c>
      <c r="C31" s="17" t="s">
        <v>56</v>
      </c>
      <c r="D31" s="17">
        <v>6819273</v>
      </c>
      <c r="E31" s="17" t="s">
        <v>236</v>
      </c>
      <c r="F31" s="17">
        <v>7.4999999999999997E-2</v>
      </c>
      <c r="G31" s="17">
        <v>0.9</v>
      </c>
      <c r="I31" s="45" t="s">
        <v>42</v>
      </c>
      <c r="J31" s="46"/>
      <c r="K31" s="46"/>
      <c r="L31" s="46"/>
      <c r="M31" s="47"/>
    </row>
    <row r="32" spans="1:14" ht="15" thickBot="1" x14ac:dyDescent="0.35">
      <c r="A32" s="18" t="s">
        <v>237</v>
      </c>
      <c r="B32" s="18">
        <v>6819249</v>
      </c>
      <c r="C32" s="18" t="s">
        <v>56</v>
      </c>
      <c r="D32" s="18">
        <v>6819249</v>
      </c>
      <c r="E32" s="18" t="s">
        <v>238</v>
      </c>
      <c r="F32" s="18">
        <v>0.1125</v>
      </c>
      <c r="G32" s="18">
        <v>0.9</v>
      </c>
      <c r="L32"/>
    </row>
    <row r="33" spans="1:13" ht="14.4" customHeight="1" x14ac:dyDescent="0.3">
      <c r="A33" s="17" t="s">
        <v>239</v>
      </c>
      <c r="B33" s="17">
        <v>6819231</v>
      </c>
      <c r="C33" s="17" t="s">
        <v>56</v>
      </c>
      <c r="D33" s="17">
        <v>6819231</v>
      </c>
      <c r="E33" s="17" t="s">
        <v>240</v>
      </c>
      <c r="F33" s="17">
        <v>7.4999999999999997E-2</v>
      </c>
      <c r="G33" s="17">
        <v>0.9</v>
      </c>
      <c r="I33" s="31" t="s">
        <v>45</v>
      </c>
      <c r="J33" s="32"/>
      <c r="K33" s="32"/>
      <c r="L33" s="32"/>
      <c r="M33" s="33"/>
    </row>
    <row r="34" spans="1:13" x14ac:dyDescent="0.3">
      <c r="A34" s="18" t="s">
        <v>241</v>
      </c>
      <c r="B34" s="18">
        <v>6819117</v>
      </c>
      <c r="C34" s="18" t="s">
        <v>56</v>
      </c>
      <c r="D34" s="18">
        <v>6819117</v>
      </c>
      <c r="E34" s="18" t="s">
        <v>242</v>
      </c>
      <c r="F34" s="18">
        <v>0.15</v>
      </c>
      <c r="G34" s="18">
        <v>0.9</v>
      </c>
      <c r="I34" s="34"/>
      <c r="J34" s="35"/>
      <c r="K34" s="35"/>
      <c r="L34" s="35"/>
      <c r="M34" s="36"/>
    </row>
    <row r="35" spans="1:13" x14ac:dyDescent="0.3">
      <c r="A35" s="17" t="s">
        <v>243</v>
      </c>
      <c r="B35" s="17">
        <v>6818552</v>
      </c>
      <c r="C35" s="17" t="s">
        <v>56</v>
      </c>
      <c r="D35" s="17">
        <v>6818552</v>
      </c>
      <c r="E35" s="17" t="s">
        <v>244</v>
      </c>
      <c r="F35" s="17">
        <v>7.4999999999999997E-2</v>
      </c>
      <c r="G35" s="17">
        <v>0.9</v>
      </c>
      <c r="I35" s="34"/>
      <c r="J35" s="35"/>
      <c r="K35" s="35"/>
      <c r="L35" s="35"/>
      <c r="M35" s="36"/>
    </row>
    <row r="36" spans="1:13" x14ac:dyDescent="0.3">
      <c r="A36" s="18" t="s">
        <v>245</v>
      </c>
      <c r="B36" s="18">
        <v>6817459</v>
      </c>
      <c r="C36" s="18" t="s">
        <v>56</v>
      </c>
      <c r="D36" s="18">
        <v>6817459</v>
      </c>
      <c r="E36" s="18" t="s">
        <v>246</v>
      </c>
      <c r="F36" s="18">
        <v>0.1125</v>
      </c>
      <c r="G36" s="18">
        <v>0.9</v>
      </c>
      <c r="I36" s="34"/>
      <c r="J36" s="35"/>
      <c r="K36" s="35"/>
      <c r="L36" s="35"/>
      <c r="M36" s="36"/>
    </row>
    <row r="37" spans="1:13" x14ac:dyDescent="0.3">
      <c r="A37" s="17" t="s">
        <v>247</v>
      </c>
      <c r="B37" s="17">
        <v>6817394</v>
      </c>
      <c r="C37" s="17" t="s">
        <v>56</v>
      </c>
      <c r="D37" s="17">
        <v>6817394</v>
      </c>
      <c r="E37" s="17" t="s">
        <v>248</v>
      </c>
      <c r="F37" s="17">
        <v>7.4999999999999997E-2</v>
      </c>
      <c r="G37" s="17">
        <v>0.9</v>
      </c>
      <c r="I37" s="34"/>
      <c r="J37" s="35"/>
      <c r="K37" s="35"/>
      <c r="L37" s="35"/>
      <c r="M37" s="36"/>
    </row>
    <row r="38" spans="1:13" x14ac:dyDescent="0.3">
      <c r="A38" s="18" t="s">
        <v>249</v>
      </c>
      <c r="B38" s="18">
        <v>6817386</v>
      </c>
      <c r="C38" s="18" t="s">
        <v>56</v>
      </c>
      <c r="D38" s="18">
        <v>6817386</v>
      </c>
      <c r="E38" s="18" t="s">
        <v>250</v>
      </c>
      <c r="F38" s="18">
        <v>0.1125</v>
      </c>
      <c r="G38" s="18">
        <v>0.9</v>
      </c>
      <c r="I38" s="34"/>
      <c r="J38" s="35"/>
      <c r="K38" s="35"/>
      <c r="L38" s="35"/>
      <c r="M38" s="36"/>
    </row>
    <row r="39" spans="1:13" x14ac:dyDescent="0.3">
      <c r="A39" s="17" t="s">
        <v>251</v>
      </c>
      <c r="B39" s="17">
        <v>6817378</v>
      </c>
      <c r="C39" s="17" t="s">
        <v>56</v>
      </c>
      <c r="D39" s="17">
        <v>6817378</v>
      </c>
      <c r="E39" s="17" t="s">
        <v>252</v>
      </c>
      <c r="F39" s="17">
        <v>7.4999999999999997E-2</v>
      </c>
      <c r="G39" s="17">
        <v>0.9</v>
      </c>
      <c r="I39" s="34"/>
      <c r="J39" s="35"/>
      <c r="K39" s="35"/>
      <c r="L39" s="35"/>
      <c r="M39" s="36"/>
    </row>
    <row r="40" spans="1:13" ht="15" thickBot="1" x14ac:dyDescent="0.35">
      <c r="A40" s="18" t="s">
        <v>253</v>
      </c>
      <c r="B40" s="18">
        <v>6817343</v>
      </c>
      <c r="C40" s="18" t="s">
        <v>56</v>
      </c>
      <c r="D40" s="18">
        <v>6817343</v>
      </c>
      <c r="E40" s="18" t="s">
        <v>254</v>
      </c>
      <c r="F40" s="18">
        <v>7.4999999999999997E-2</v>
      </c>
      <c r="G40" s="18">
        <v>0.9</v>
      </c>
      <c r="I40" s="37"/>
      <c r="J40" s="38"/>
      <c r="K40" s="38"/>
      <c r="L40" s="38"/>
      <c r="M40" s="39"/>
    </row>
    <row r="41" spans="1:13" x14ac:dyDescent="0.3">
      <c r="A41" s="17" t="s">
        <v>255</v>
      </c>
      <c r="B41" s="17">
        <v>6817301</v>
      </c>
      <c r="C41" s="17" t="s">
        <v>56</v>
      </c>
      <c r="D41" s="17">
        <v>6817301</v>
      </c>
      <c r="E41" s="17" t="s">
        <v>256</v>
      </c>
      <c r="F41" s="17">
        <v>4.4999999999999998E-2</v>
      </c>
      <c r="G41" s="17">
        <v>0.9</v>
      </c>
      <c r="L41"/>
    </row>
    <row r="42" spans="1:13" x14ac:dyDescent="0.3">
      <c r="A42" s="18" t="s">
        <v>257</v>
      </c>
      <c r="B42" s="18">
        <v>6817289</v>
      </c>
      <c r="C42" s="18" t="s">
        <v>56</v>
      </c>
      <c r="D42" s="18">
        <v>6817289</v>
      </c>
      <c r="E42" s="18" t="s">
        <v>258</v>
      </c>
      <c r="F42" s="18">
        <v>4.4999999999999998E-2</v>
      </c>
      <c r="G42" s="18">
        <v>0.9</v>
      </c>
      <c r="I42" s="28" t="s">
        <v>46</v>
      </c>
      <c r="J42" s="29"/>
      <c r="K42" s="29"/>
      <c r="L42" s="30"/>
    </row>
    <row r="43" spans="1:13" x14ac:dyDescent="0.3">
      <c r="A43" s="17" t="s">
        <v>259</v>
      </c>
      <c r="B43" s="17">
        <v>6817254</v>
      </c>
      <c r="C43" s="17" t="s">
        <v>56</v>
      </c>
      <c r="D43" s="17">
        <v>6817254</v>
      </c>
      <c r="E43" s="17" t="s">
        <v>260</v>
      </c>
      <c r="F43" s="17">
        <v>0.22500000000000001</v>
      </c>
      <c r="G43" s="17">
        <v>0.9</v>
      </c>
      <c r="I43" s="25" t="s">
        <v>47</v>
      </c>
      <c r="J43" s="25" t="s">
        <v>48</v>
      </c>
      <c r="K43" s="25" t="s">
        <v>49</v>
      </c>
      <c r="L43" s="25" t="s">
        <v>50</v>
      </c>
    </row>
    <row r="44" spans="1:13" x14ac:dyDescent="0.3">
      <c r="A44" s="18" t="s">
        <v>261</v>
      </c>
      <c r="B44" s="18">
        <v>6817220</v>
      </c>
      <c r="C44" s="18" t="s">
        <v>56</v>
      </c>
      <c r="D44" s="18">
        <v>6817220</v>
      </c>
      <c r="E44" s="18" t="s">
        <v>262</v>
      </c>
      <c r="F44" s="18">
        <v>7.4999999999999997E-2</v>
      </c>
      <c r="G44" s="18">
        <v>0.9</v>
      </c>
      <c r="I44" t="s">
        <v>51</v>
      </c>
      <c r="L44"/>
    </row>
    <row r="45" spans="1:13" x14ac:dyDescent="0.3">
      <c r="A45" s="17" t="s">
        <v>263</v>
      </c>
      <c r="B45" s="17">
        <v>6817203</v>
      </c>
      <c r="C45" s="17" t="s">
        <v>56</v>
      </c>
      <c r="D45" s="17">
        <v>6817203</v>
      </c>
      <c r="E45" s="17" t="s">
        <v>264</v>
      </c>
      <c r="F45" s="17">
        <v>0.15</v>
      </c>
      <c r="G45" s="17">
        <v>0.9</v>
      </c>
    </row>
    <row r="46" spans="1:13" x14ac:dyDescent="0.3">
      <c r="A46" s="18" t="s">
        <v>265</v>
      </c>
      <c r="B46" s="18">
        <v>6814549</v>
      </c>
      <c r="C46" s="18" t="s">
        <v>56</v>
      </c>
      <c r="D46" s="18">
        <v>6814549</v>
      </c>
      <c r="E46" s="18" t="s">
        <v>266</v>
      </c>
      <c r="F46" s="18">
        <v>0.15</v>
      </c>
      <c r="G46" s="18">
        <v>0.9</v>
      </c>
    </row>
    <row r="47" spans="1:13" x14ac:dyDescent="0.3">
      <c r="A47" s="17" t="s">
        <v>267</v>
      </c>
      <c r="B47" s="17">
        <v>6814506</v>
      </c>
      <c r="C47" s="17" t="s">
        <v>56</v>
      </c>
      <c r="D47" s="17">
        <v>6814506</v>
      </c>
      <c r="E47" s="17" t="s">
        <v>268</v>
      </c>
      <c r="F47" s="17">
        <v>0.15</v>
      </c>
      <c r="G47" s="17">
        <v>0.9</v>
      </c>
    </row>
    <row r="48" spans="1:13" x14ac:dyDescent="0.3">
      <c r="A48" s="18" t="s">
        <v>269</v>
      </c>
      <c r="B48" s="18">
        <v>6814484</v>
      </c>
      <c r="C48" s="18" t="s">
        <v>56</v>
      </c>
      <c r="D48" s="18">
        <v>6814484</v>
      </c>
      <c r="E48" s="18" t="s">
        <v>270</v>
      </c>
      <c r="F48" s="18">
        <v>0.1125</v>
      </c>
      <c r="G48" s="18">
        <v>0.9</v>
      </c>
    </row>
    <row r="49" spans="1:7" x14ac:dyDescent="0.3">
      <c r="A49" s="17" t="s">
        <v>271</v>
      </c>
      <c r="B49" s="17">
        <v>6814484</v>
      </c>
      <c r="C49" s="17" t="s">
        <v>56</v>
      </c>
      <c r="D49" s="17">
        <v>6814484</v>
      </c>
      <c r="E49" s="17" t="s">
        <v>272</v>
      </c>
      <c r="F49" s="17">
        <v>7.4999999999999997E-2</v>
      </c>
      <c r="G49" s="17">
        <v>0.9</v>
      </c>
    </row>
    <row r="50" spans="1:7" x14ac:dyDescent="0.3">
      <c r="A50" s="18" t="s">
        <v>273</v>
      </c>
      <c r="B50" s="18">
        <v>6814476</v>
      </c>
      <c r="C50" s="18" t="s">
        <v>56</v>
      </c>
      <c r="D50" s="18">
        <v>6814476</v>
      </c>
      <c r="E50" s="18" t="s">
        <v>274</v>
      </c>
      <c r="F50" s="18">
        <v>0.03</v>
      </c>
      <c r="G50" s="18">
        <v>0.9</v>
      </c>
    </row>
    <row r="51" spans="1:7" x14ac:dyDescent="0.3">
      <c r="A51" s="17" t="s">
        <v>275</v>
      </c>
      <c r="B51" s="17">
        <v>6814450</v>
      </c>
      <c r="C51" s="17" t="s">
        <v>56</v>
      </c>
      <c r="D51" s="17">
        <v>6814450</v>
      </c>
      <c r="E51" s="17" t="s">
        <v>276</v>
      </c>
      <c r="F51" s="17">
        <v>0.03</v>
      </c>
      <c r="G51" s="17">
        <v>0.9</v>
      </c>
    </row>
    <row r="52" spans="1:7" x14ac:dyDescent="0.3">
      <c r="A52" s="18" t="s">
        <v>277</v>
      </c>
      <c r="B52" s="18">
        <v>6814441</v>
      </c>
      <c r="C52" s="18" t="s">
        <v>56</v>
      </c>
      <c r="D52" s="18">
        <v>6814441</v>
      </c>
      <c r="E52" s="18" t="s">
        <v>278</v>
      </c>
      <c r="F52" s="18">
        <v>7.4999999999999997E-2</v>
      </c>
      <c r="G52" s="18">
        <v>0.9</v>
      </c>
    </row>
    <row r="53" spans="1:7" x14ac:dyDescent="0.3">
      <c r="A53" s="17" t="s">
        <v>279</v>
      </c>
      <c r="B53" s="17">
        <v>6814433</v>
      </c>
      <c r="C53" s="17" t="s">
        <v>56</v>
      </c>
      <c r="D53" s="17">
        <v>6814433</v>
      </c>
      <c r="E53" s="17" t="s">
        <v>280</v>
      </c>
      <c r="F53" s="17">
        <v>0.1125</v>
      </c>
      <c r="G53" s="17">
        <v>0.9</v>
      </c>
    </row>
    <row r="54" spans="1:7" x14ac:dyDescent="0.3">
      <c r="A54" s="18" t="s">
        <v>281</v>
      </c>
      <c r="B54" s="18">
        <v>6814417</v>
      </c>
      <c r="C54" s="18" t="s">
        <v>56</v>
      </c>
      <c r="D54" s="18">
        <v>6814417</v>
      </c>
      <c r="E54" s="18" t="s">
        <v>282</v>
      </c>
      <c r="F54" s="18">
        <v>0.22500000000000001</v>
      </c>
      <c r="G54" s="18">
        <v>0.9</v>
      </c>
    </row>
    <row r="55" spans="1:7" x14ac:dyDescent="0.3">
      <c r="A55" s="17" t="s">
        <v>283</v>
      </c>
      <c r="B55" s="17">
        <v>5583471</v>
      </c>
      <c r="C55" s="17" t="s">
        <v>56</v>
      </c>
      <c r="D55" s="17">
        <v>5583471</v>
      </c>
      <c r="E55" s="17" t="s">
        <v>284</v>
      </c>
      <c r="F55" s="17">
        <v>7.4999999999999997E-2</v>
      </c>
      <c r="G55" s="17">
        <v>0.9</v>
      </c>
    </row>
    <row r="56" spans="1:7" x14ac:dyDescent="0.3">
      <c r="A56" s="18" t="s">
        <v>285</v>
      </c>
      <c r="B56" s="18">
        <v>5580587</v>
      </c>
      <c r="C56" s="18" t="s">
        <v>56</v>
      </c>
      <c r="D56" s="18">
        <v>5580587</v>
      </c>
      <c r="E56" s="18" t="s">
        <v>286</v>
      </c>
      <c r="F56" s="18">
        <v>0.22500000000000001</v>
      </c>
      <c r="G56" s="18">
        <v>0.9</v>
      </c>
    </row>
    <row r="57" spans="1:7" x14ac:dyDescent="0.3">
      <c r="A57" s="17" t="s">
        <v>287</v>
      </c>
      <c r="B57" s="17">
        <v>4929772</v>
      </c>
      <c r="C57" s="17" t="s">
        <v>56</v>
      </c>
      <c r="D57" s="17">
        <v>4929772</v>
      </c>
      <c r="E57" s="17" t="s">
        <v>288</v>
      </c>
      <c r="F57" s="17">
        <v>0.3</v>
      </c>
      <c r="G57" s="17">
        <v>0.9</v>
      </c>
    </row>
    <row r="58" spans="1:7" x14ac:dyDescent="0.3">
      <c r="A58" s="18" t="s">
        <v>289</v>
      </c>
      <c r="B58" s="18">
        <v>4929527</v>
      </c>
      <c r="C58" s="18" t="s">
        <v>56</v>
      </c>
      <c r="D58" s="18">
        <v>4929527</v>
      </c>
      <c r="E58" s="18" t="s">
        <v>290</v>
      </c>
      <c r="F58" s="18">
        <v>7.4999999999999997E-2</v>
      </c>
      <c r="G58" s="18">
        <v>0.9</v>
      </c>
    </row>
    <row r="59" spans="1:7" x14ac:dyDescent="0.3">
      <c r="A59" s="17" t="s">
        <v>291</v>
      </c>
      <c r="B59" s="17">
        <v>4270045</v>
      </c>
      <c r="C59" s="17" t="s">
        <v>56</v>
      </c>
      <c r="D59" s="17">
        <v>4270045</v>
      </c>
      <c r="E59" s="17" t="s">
        <v>292</v>
      </c>
      <c r="F59" s="17">
        <v>7.4999999999999997E-2</v>
      </c>
      <c r="G59" s="17">
        <v>0.9</v>
      </c>
    </row>
    <row r="60" spans="1:7" x14ac:dyDescent="0.3">
      <c r="A60" s="18" t="s">
        <v>293</v>
      </c>
      <c r="B60" s="18">
        <v>4244231</v>
      </c>
      <c r="C60" s="18" t="s">
        <v>56</v>
      </c>
      <c r="D60" s="18">
        <v>4244231</v>
      </c>
      <c r="E60" s="18" t="s">
        <v>294</v>
      </c>
      <c r="F60" s="18">
        <v>7.4999999999999997E-2</v>
      </c>
      <c r="G60" s="18">
        <v>0.9</v>
      </c>
    </row>
    <row r="61" spans="1:7" x14ac:dyDescent="0.3">
      <c r="A61" s="17" t="s">
        <v>295</v>
      </c>
      <c r="B61" s="17">
        <v>4244052</v>
      </c>
      <c r="C61" s="17" t="s">
        <v>56</v>
      </c>
      <c r="D61" s="17">
        <v>4244052</v>
      </c>
      <c r="E61" s="17" t="s">
        <v>296</v>
      </c>
      <c r="F61" s="17">
        <v>0.4</v>
      </c>
      <c r="G61" s="17">
        <v>0.9</v>
      </c>
    </row>
    <row r="62" spans="1:7" x14ac:dyDescent="0.3">
      <c r="A62" s="18" t="s">
        <v>297</v>
      </c>
      <c r="B62" s="18">
        <v>4148223</v>
      </c>
      <c r="C62" s="18" t="s">
        <v>56</v>
      </c>
      <c r="D62" s="18">
        <v>4148223</v>
      </c>
      <c r="E62" s="18" t="s">
        <v>298</v>
      </c>
      <c r="F62" s="18">
        <v>7.4999999999999997E-2</v>
      </c>
      <c r="G62" s="18">
        <v>0.9</v>
      </c>
    </row>
    <row r="63" spans="1:7" x14ac:dyDescent="0.3">
      <c r="A63" s="17" t="s">
        <v>299</v>
      </c>
      <c r="B63" s="17">
        <v>1192663</v>
      </c>
      <c r="C63" s="17" t="s">
        <v>56</v>
      </c>
      <c r="D63" s="17">
        <v>1192663</v>
      </c>
      <c r="E63" s="17" t="s">
        <v>300</v>
      </c>
      <c r="F63" s="17">
        <v>0.1125</v>
      </c>
      <c r="G63" s="17">
        <v>0.9</v>
      </c>
    </row>
    <row r="64" spans="1:7" x14ac:dyDescent="0.3">
      <c r="A64" s="18" t="s">
        <v>301</v>
      </c>
      <c r="B64" s="18">
        <v>1191969</v>
      </c>
      <c r="C64" s="18" t="s">
        <v>56</v>
      </c>
      <c r="D64" s="18">
        <v>1191969</v>
      </c>
      <c r="E64" s="18" t="s">
        <v>302</v>
      </c>
      <c r="F64" s="18">
        <v>0.03</v>
      </c>
      <c r="G64" s="18">
        <v>0.9</v>
      </c>
    </row>
  </sheetData>
  <mergeCells count="8">
    <mergeCell ref="I42:L42"/>
    <mergeCell ref="I33:M40"/>
    <mergeCell ref="R2:T2"/>
    <mergeCell ref="I28:M28"/>
    <mergeCell ref="I29:M29"/>
    <mergeCell ref="I30:M30"/>
    <mergeCell ref="I31:M31"/>
    <mergeCell ref="I27:M27"/>
  </mergeCells>
  <phoneticPr fontId="7" type="noConversion"/>
  <conditionalFormatting sqref="I44:L44">
    <cfRule type="expression" dxfId="0" priority="1">
      <formula>$B44&lt;&gt;""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51DF-1E01-4EF4-9AD5-2D80C622C75A}">
  <dimension ref="A3:Z5"/>
  <sheetViews>
    <sheetView zoomScale="70" zoomScaleNormal="70" workbookViewId="0">
      <selection activeCell="F10" sqref="F10"/>
    </sheetView>
  </sheetViews>
  <sheetFormatPr baseColWidth="10" defaultColWidth="11.44140625" defaultRowHeight="14.4" x14ac:dyDescent="0.3"/>
  <cols>
    <col min="1" max="1" width="18.44140625" customWidth="1"/>
    <col min="2" max="2" width="12.109375" customWidth="1"/>
    <col min="5" max="5" width="6.109375" bestFit="1" customWidth="1"/>
    <col min="6" max="6" width="17.44140625" customWidth="1"/>
    <col min="7" max="7" width="16.44140625" bestFit="1" customWidth="1"/>
    <col min="8" max="8" width="15.109375" bestFit="1" customWidth="1"/>
    <col min="9" max="9" width="17" customWidth="1"/>
    <col min="10" max="10" width="16.88671875" bestFit="1" customWidth="1"/>
    <col min="11" max="11" width="17.109375" customWidth="1"/>
    <col min="12" max="12" width="18.109375" customWidth="1"/>
    <col min="13" max="13" width="7.88671875" customWidth="1"/>
    <col min="14" max="14" width="8.88671875" customWidth="1"/>
    <col min="15" max="15" width="11" customWidth="1"/>
    <col min="16" max="16" width="10.33203125" customWidth="1"/>
    <col min="17" max="18" width="7.6640625" customWidth="1"/>
    <col min="19" max="19" width="8.109375" customWidth="1"/>
    <col min="20" max="20" width="7.109375" customWidth="1"/>
    <col min="21" max="21" width="10.5546875" customWidth="1"/>
  </cols>
  <sheetData>
    <row r="3" spans="1:26" ht="31.2" x14ac:dyDescent="0.3">
      <c r="A3" s="51" t="s">
        <v>307</v>
      </c>
      <c r="B3" s="51" t="s">
        <v>308</v>
      </c>
      <c r="C3" s="51" t="s">
        <v>309</v>
      </c>
      <c r="D3" s="51" t="s">
        <v>310</v>
      </c>
      <c r="E3" s="51" t="s">
        <v>311</v>
      </c>
      <c r="F3" s="52" t="s">
        <v>312</v>
      </c>
      <c r="G3" s="51" t="s">
        <v>313</v>
      </c>
      <c r="H3" s="53" t="s">
        <v>314</v>
      </c>
      <c r="I3" s="51" t="s">
        <v>315</v>
      </c>
      <c r="J3" s="51" t="s">
        <v>316</v>
      </c>
      <c r="K3" s="51" t="s">
        <v>317</v>
      </c>
      <c r="L3" s="54" t="s">
        <v>318</v>
      </c>
      <c r="M3" s="55"/>
      <c r="N3" s="56"/>
      <c r="O3" s="56"/>
      <c r="P3" s="56"/>
      <c r="Q3" s="56"/>
      <c r="R3" s="57"/>
      <c r="S3" s="54" t="s">
        <v>324</v>
      </c>
      <c r="T3" s="56"/>
      <c r="U3" s="56"/>
      <c r="V3" s="56"/>
      <c r="W3" s="56"/>
      <c r="X3" s="57"/>
      <c r="Y3" s="62" t="s">
        <v>325</v>
      </c>
      <c r="Z3" s="62"/>
    </row>
    <row r="4" spans="1:26" ht="46.8" x14ac:dyDescent="0.3">
      <c r="A4" s="58"/>
      <c r="B4" s="58"/>
      <c r="C4" s="58"/>
      <c r="D4" s="58"/>
      <c r="E4" s="58"/>
      <c r="F4" s="59"/>
      <c r="G4" s="58"/>
      <c r="H4" s="60"/>
      <c r="I4" s="58"/>
      <c r="J4" s="58"/>
      <c r="K4" s="58"/>
      <c r="L4" s="61" t="s">
        <v>319</v>
      </c>
      <c r="M4" s="61"/>
      <c r="N4" s="61">
        <v>51</v>
      </c>
      <c r="O4" s="61" t="s">
        <v>320</v>
      </c>
      <c r="P4" s="61" t="s">
        <v>321</v>
      </c>
      <c r="Q4" s="61" t="s">
        <v>322</v>
      </c>
      <c r="R4" s="61" t="s">
        <v>323</v>
      </c>
      <c r="S4" s="61" t="s">
        <v>319</v>
      </c>
      <c r="T4" s="61" t="s">
        <v>326</v>
      </c>
      <c r="U4" s="61" t="s">
        <v>320</v>
      </c>
      <c r="V4" s="61" t="s">
        <v>321</v>
      </c>
      <c r="W4" s="61" t="s">
        <v>327</v>
      </c>
      <c r="X4" s="61" t="s">
        <v>323</v>
      </c>
      <c r="Y4" s="63" t="s">
        <v>328</v>
      </c>
      <c r="Z4" s="61" t="s">
        <v>329</v>
      </c>
    </row>
    <row r="5" spans="1:26" ht="27.6" x14ac:dyDescent="0.3">
      <c r="A5" s="64" t="s">
        <v>330</v>
      </c>
      <c r="B5" s="64" t="s">
        <v>331</v>
      </c>
      <c r="C5" s="64">
        <v>13.8</v>
      </c>
      <c r="D5" s="64">
        <v>600</v>
      </c>
      <c r="E5" s="64">
        <v>120</v>
      </c>
      <c r="F5" s="64" t="s">
        <v>332</v>
      </c>
      <c r="G5" s="64" t="s">
        <v>333</v>
      </c>
      <c r="H5" s="64"/>
      <c r="I5" s="64" t="s">
        <v>334</v>
      </c>
      <c r="J5" s="64" t="s">
        <v>335</v>
      </c>
      <c r="K5" s="64" t="s">
        <v>336</v>
      </c>
      <c r="L5" s="65" t="s">
        <v>337</v>
      </c>
      <c r="M5" s="65"/>
      <c r="N5" s="65">
        <v>0.6</v>
      </c>
      <c r="O5" s="66">
        <v>7.0000000000000007E-2</v>
      </c>
      <c r="P5" s="65" t="s">
        <v>338</v>
      </c>
      <c r="Q5" s="65">
        <v>3.6</v>
      </c>
      <c r="R5" s="65">
        <v>0.05</v>
      </c>
      <c r="S5" s="65" t="s">
        <v>337</v>
      </c>
      <c r="T5" s="65">
        <v>0.2</v>
      </c>
      <c r="U5" s="66">
        <v>0.2</v>
      </c>
      <c r="V5" s="65" t="s">
        <v>338</v>
      </c>
      <c r="W5" s="65">
        <v>3</v>
      </c>
      <c r="X5" s="65">
        <v>0.05</v>
      </c>
      <c r="Y5" s="65" t="s">
        <v>339</v>
      </c>
      <c r="Z5" s="65">
        <v>30</v>
      </c>
    </row>
  </sheetData>
  <mergeCells count="3">
    <mergeCell ref="L3:R3"/>
    <mergeCell ref="S3:X3"/>
    <mergeCell ref="Y3:Z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Líneas </vt:lpstr>
      <vt:lpstr>Cargas_Demanda_corto</vt:lpstr>
      <vt:lpstr>Protecciones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DELGADO BLANCO LAURA MARCELA</dc:creator>
  <cp:keywords/>
  <dc:description/>
  <cp:lastModifiedBy>ALEX DAVID NOVA ARDILA</cp:lastModifiedBy>
  <cp:revision/>
  <dcterms:created xsi:type="dcterms:W3CDTF">2021-09-13T20:23:29Z</dcterms:created>
  <dcterms:modified xsi:type="dcterms:W3CDTF">2026-07-22T01:28:44Z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8abea6-f7bf-4d7f-aa7c-07b94d6e5785_Enabled">
    <vt:lpwstr>true</vt:lpwstr>
  </property>
  <property fmtid="{D5CDD505-2E9C-101B-9397-08002B2CF9AE}" pid="3" name="MSIP_Label_5d8abea6-f7bf-4d7f-aa7c-07b94d6e5785_SetDate">
    <vt:lpwstr>2023-07-05T16:42:55Z</vt:lpwstr>
  </property>
  <property fmtid="{D5CDD505-2E9C-101B-9397-08002B2CF9AE}" pid="4" name="MSIP_Label_5d8abea6-f7bf-4d7f-aa7c-07b94d6e5785_Method">
    <vt:lpwstr>Privileged</vt:lpwstr>
  </property>
  <property fmtid="{D5CDD505-2E9C-101B-9397-08002B2CF9AE}" pid="5" name="MSIP_Label_5d8abea6-f7bf-4d7f-aa7c-07b94d6e5785_Name">
    <vt:lpwstr>Cualquiera</vt:lpwstr>
  </property>
  <property fmtid="{D5CDD505-2E9C-101B-9397-08002B2CF9AE}" pid="6" name="MSIP_Label_5d8abea6-f7bf-4d7f-aa7c-07b94d6e5785_SiteId">
    <vt:lpwstr>bf1ce8b5-5d39-4bc5-ad6e-07b3e4d7d67a</vt:lpwstr>
  </property>
  <property fmtid="{D5CDD505-2E9C-101B-9397-08002B2CF9AE}" pid="7" name="MSIP_Label_5d8abea6-f7bf-4d7f-aa7c-07b94d6e5785_ActionId">
    <vt:lpwstr>413aef9d-3916-4d8f-81d3-0000afb77122</vt:lpwstr>
  </property>
  <property fmtid="{D5CDD505-2E9C-101B-9397-08002B2CF9AE}" pid="8" name="MSIP_Label_5d8abea6-f7bf-4d7f-aa7c-07b94d6e5785_ContentBits">
    <vt:lpwstr>0</vt:lpwstr>
  </property>
</Properties>
</file>
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mco-my.sharepoint.com/personal/delgado_laura_essa_com_co/Documents/Documentos/AGPE/00 - INSUMOS AUTOGENERACIÓN/INSUMOS CIRCUITOS/1722702_10 502_AGPE/"/>
    </mc:Choice>
  </mc:AlternateContent>
  <xr:revisionPtr revIDLastSave="179" documentId="13_ncr:101_{B90DBF41-C849-4040-9C51-EA4FA79B1FE5}" xr6:coauthVersionLast="47" xr6:coauthVersionMax="47" xr10:uidLastSave="{C3D77E31-93F3-4BA7-8DAF-172693AAD2CB}"/>
  <bookViews>
    <workbookView xWindow="14295" yWindow="0" windowWidth="14610" windowHeight="15585" activeTab="1" xr2:uid="{1F864B03-D386-4A78-89A7-876BB6DCE44E}"/>
  </bookViews>
  <sheets>
    <sheet name="Líneas " sheetId="3" r:id="rId1"/>
    <sheet name="Cargas_Demanda_corto" sheetId="1" r:id="rId2"/>
    <sheet name="Protecciones" sheetId="2" r:id="rId3"/>
  </sheets>
  <definedNames>
    <definedName name="_xlnm._FilterDatabase" localSheetId="0" hidden="1">'Líneas '!$A$1:$K$475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P5" i="1"/>
  <c r="P4" i="1"/>
  <c r="P3" i="1"/>
</calcChain>
</file>

<file path=xl/sharedStrings.xml><?xml version="1.0" encoding="utf-8"?>
<sst xmlns="http://schemas.openxmlformats.org/spreadsheetml/2006/main" count="1107" uniqueCount="328">
  <si>
    <t>ESTACION</t>
  </si>
  <si>
    <t>EQUIPO_NT</t>
  </si>
  <si>
    <t>CAMPO</t>
  </si>
  <si>
    <t xml:space="preserve">Hora </t>
  </si>
  <si>
    <t>S [MVA]</t>
  </si>
  <si>
    <t>Potencia Aparente en cabecera del circuito</t>
  </si>
  <si>
    <t>Falla desde subestación</t>
  </si>
  <si>
    <t>Sk [MVA]</t>
  </si>
  <si>
    <t>Ik [kA]</t>
  </si>
  <si>
    <t>Ip [kA]</t>
  </si>
  <si>
    <t>Relación R/X (pico)</t>
  </si>
  <si>
    <t>Trifasico</t>
  </si>
  <si>
    <t>Monofasico a</t>
  </si>
  <si>
    <t>SUBESTACIÓN</t>
  </si>
  <si>
    <t>TENSIÓN (kV)</t>
  </si>
  <si>
    <t>RTC</t>
  </si>
  <si>
    <t>RTP</t>
  </si>
  <si>
    <t>FABRICANTE</t>
  </si>
  <si>
    <t>MODELO</t>
  </si>
  <si>
    <t>NÚMERO
SERIAL</t>
  </si>
  <si>
    <t>PROTECCIÓN</t>
  </si>
  <si>
    <t>FUNCIÓN DEL RELÉ</t>
  </si>
  <si>
    <t>TIPO DE PROTECCIÓN</t>
  </si>
  <si>
    <t>AJUSTES DE FASE</t>
  </si>
  <si>
    <t>AJUSTES DE TIERRA</t>
  </si>
  <si>
    <t>RECIERRE</t>
  </si>
  <si>
    <t>(50), (50N), (51), (51N)</t>
  </si>
  <si>
    <t>Sobrecorriente</t>
  </si>
  <si>
    <t>Protección Principal</t>
  </si>
  <si>
    <t>Name</t>
  </si>
  <si>
    <t>Grid</t>
  </si>
  <si>
    <t>Terminal i</t>
  </si>
  <si>
    <t>Terminal j</t>
  </si>
  <si>
    <t>Length</t>
  </si>
  <si>
    <t>R1</t>
  </si>
  <si>
    <t>X1</t>
  </si>
  <si>
    <t>B1</t>
  </si>
  <si>
    <t>R0</t>
  </si>
  <si>
    <t>X0</t>
  </si>
  <si>
    <t>B0</t>
  </si>
  <si>
    <t>Busbar</t>
  </si>
  <si>
    <t>km</t>
  </si>
  <si>
    <t>kA</t>
  </si>
  <si>
    <t>Ohm</t>
  </si>
  <si>
    <t>uS</t>
  </si>
  <si>
    <t>StaCubic</t>
  </si>
  <si>
    <t>Terminal</t>
  </si>
  <si>
    <t>App.Pow.</t>
  </si>
  <si>
    <t>Pow.Fact.</t>
  </si>
  <si>
    <t>MVA</t>
  </si>
  <si>
    <t>3F_15_ACSR_1/0_AIRE</t>
  </si>
  <si>
    <t>3F_15_ACSR_2/0_AIRE</t>
  </si>
  <si>
    <t>3F_15_ACSR_2_AIRE</t>
  </si>
  <si>
    <t>3F_15_CU_4/0_XLPE</t>
  </si>
  <si>
    <t>3F_15_CU_2_XLPE</t>
  </si>
  <si>
    <t>3F_15_CU_1/0_XLPE</t>
  </si>
  <si>
    <t>Rtd.Current</t>
  </si>
  <si>
    <t>3F_15_ACSR_2/0_ECO</t>
  </si>
  <si>
    <t>I [A]</t>
  </si>
  <si>
    <t>In Folder</t>
  </si>
  <si>
    <t>HORA</t>
  </si>
  <si>
    <t>BAHÍA</t>
  </si>
  <si>
    <t>Dir</t>
  </si>
  <si>
    <t>Dial</t>
  </si>
  <si>
    <t>Curva</t>
  </si>
  <si>
    <t>50-1</t>
  </si>
  <si>
    <t>Time delay (s)</t>
  </si>
  <si>
    <t>51N</t>
  </si>
  <si>
    <t>50N</t>
  </si>
  <si>
    <t xml:space="preserve">  79-1
/ 79-2</t>
  </si>
  <si>
    <t>Reset time (s)</t>
  </si>
  <si>
    <t>None</t>
  </si>
  <si>
    <t>El apoyo donde se conectará el AGPE es el</t>
  </si>
  <si>
    <t xml:space="preserve">10-502  </t>
  </si>
  <si>
    <t>SEConucos</t>
  </si>
  <si>
    <t>Corto en Barraje 13,8 kV S/E Conucos</t>
  </si>
  <si>
    <t>10 502</t>
  </si>
  <si>
    <t xml:space="preserve">  1103458A</t>
  </si>
  <si>
    <t xml:space="preserve">  1103458B</t>
  </si>
  <si>
    <t xml:space="preserve">  1101293C</t>
  </si>
  <si>
    <t xml:space="preserve">  1155911A</t>
  </si>
  <si>
    <t xml:space="preserve">  1101315C</t>
  </si>
  <si>
    <t xml:space="preserve">  1155679A</t>
  </si>
  <si>
    <t xml:space="preserve">  1101315D</t>
  </si>
  <si>
    <t xml:space="preserve">  1157019A</t>
  </si>
  <si>
    <t xml:space="preserve">  1101421D</t>
  </si>
  <si>
    <t xml:space="preserve">  1155776B</t>
  </si>
  <si>
    <t xml:space="preserve">  1101421C</t>
  </si>
  <si>
    <t xml:space="preserve">  1155822A</t>
  </si>
  <si>
    <t xml:space="preserve">  1101404B</t>
  </si>
  <si>
    <t xml:space="preserve">  1155881A</t>
  </si>
  <si>
    <t xml:space="preserve">  1101340B</t>
  </si>
  <si>
    <t xml:space="preserve">  1155946A</t>
  </si>
  <si>
    <t xml:space="preserve">  1101340C</t>
  </si>
  <si>
    <t xml:space="preserve">  1155997A</t>
  </si>
  <si>
    <t xml:space="preserve">  1067214B</t>
  </si>
  <si>
    <t>3F_15_CU_350_XLPE</t>
  </si>
  <si>
    <t xml:space="preserve">  1154613A</t>
  </si>
  <si>
    <t xml:space="preserve">  1101307D</t>
  </si>
  <si>
    <t xml:space="preserve">  2214156A</t>
  </si>
  <si>
    <t xml:space="preserve">  2567831A</t>
  </si>
  <si>
    <t xml:space="preserve">  1101455A</t>
  </si>
  <si>
    <t xml:space="preserve">  1101455E</t>
  </si>
  <si>
    <t xml:space="preserve">  1067010E</t>
  </si>
  <si>
    <t xml:space="preserve">  2765837A</t>
  </si>
  <si>
    <t xml:space="preserve">  1101421G</t>
  </si>
  <si>
    <t xml:space="preserve">  2789132A</t>
  </si>
  <si>
    <t xml:space="preserve">  2789141A</t>
  </si>
  <si>
    <t xml:space="preserve">  1067001D</t>
  </si>
  <si>
    <t>3F_15_ACSR_4/0_AIRE</t>
  </si>
  <si>
    <t xml:space="preserve">  1069471C</t>
  </si>
  <si>
    <t xml:space="preserve">  1067010A</t>
  </si>
  <si>
    <t xml:space="preserve">  1067028A</t>
  </si>
  <si>
    <t xml:space="preserve">  1067036A</t>
  </si>
  <si>
    <t xml:space="preserve">  1067052A</t>
  </si>
  <si>
    <t xml:space="preserve">  1067052B</t>
  </si>
  <si>
    <t xml:space="preserve">  1067079A</t>
  </si>
  <si>
    <t xml:space="preserve">  1067079B</t>
  </si>
  <si>
    <t xml:space="preserve">  1067079C</t>
  </si>
  <si>
    <t xml:space="preserve">  1067087A</t>
  </si>
  <si>
    <t xml:space="preserve">  1067109A</t>
  </si>
  <si>
    <t xml:space="preserve">  1067109B</t>
  </si>
  <si>
    <t xml:space="preserve">  1067117A</t>
  </si>
  <si>
    <t xml:space="preserve">  1067125A</t>
  </si>
  <si>
    <t xml:space="preserve">  1067125B</t>
  </si>
  <si>
    <t xml:space="preserve">  1067133A</t>
  </si>
  <si>
    <t xml:space="preserve">  1067133B</t>
  </si>
  <si>
    <t xml:space="preserve">  1067141A</t>
  </si>
  <si>
    <t xml:space="preserve">  1067176A</t>
  </si>
  <si>
    <t xml:space="preserve">  1067184A</t>
  </si>
  <si>
    <t xml:space="preserve">  1067184B</t>
  </si>
  <si>
    <t xml:space="preserve">  1067192A</t>
  </si>
  <si>
    <t xml:space="preserve">  1067206A</t>
  </si>
  <si>
    <t xml:space="preserve">  1067214A</t>
  </si>
  <si>
    <t xml:space="preserve">  1101251A</t>
  </si>
  <si>
    <t xml:space="preserve">  1101251D</t>
  </si>
  <si>
    <t xml:space="preserve">  1101277A</t>
  </si>
  <si>
    <t xml:space="preserve">  1101293A</t>
  </si>
  <si>
    <t xml:space="preserve">  1101293B</t>
  </si>
  <si>
    <t xml:space="preserve">  1101307A</t>
  </si>
  <si>
    <t xml:space="preserve">  1101307B</t>
  </si>
  <si>
    <t xml:space="preserve">  1101315A</t>
  </si>
  <si>
    <t xml:space="preserve">  1101340A</t>
  </si>
  <si>
    <t xml:space="preserve">  1101374A</t>
  </si>
  <si>
    <t xml:space="preserve">  1101382A</t>
  </si>
  <si>
    <t xml:space="preserve">  1101391A</t>
  </si>
  <si>
    <t xml:space="preserve">  1101404A</t>
  </si>
  <si>
    <t xml:space="preserve">  1101421A</t>
  </si>
  <si>
    <t xml:space="preserve">  1101421B</t>
  </si>
  <si>
    <t xml:space="preserve">  1101447D</t>
  </si>
  <si>
    <t xml:space="preserve">  1101480B</t>
  </si>
  <si>
    <t xml:space="preserve">  1065971D</t>
  </si>
  <si>
    <t xml:space="preserve">  1067087C</t>
  </si>
  <si>
    <t xml:space="preserve">  4249372A</t>
  </si>
  <si>
    <t xml:space="preserve">  4938216A</t>
  </si>
  <si>
    <t>3F_15_CU_2/0_XLPE</t>
  </si>
  <si>
    <t xml:space="preserve">  1026666A</t>
  </si>
  <si>
    <t xml:space="preserve">  1067079F</t>
  </si>
  <si>
    <t xml:space="preserve">  5604524A</t>
  </si>
  <si>
    <t xml:space="preserve">  8338973A</t>
  </si>
  <si>
    <t xml:space="preserve">  4249372B</t>
  </si>
  <si>
    <t xml:space="preserve">  4249372D</t>
  </si>
  <si>
    <t xml:space="preserve">  1067052F</t>
  </si>
  <si>
    <t xml:space="preserve">  8795266A</t>
  </si>
  <si>
    <t xml:space="preserve">  1154176A</t>
  </si>
  <si>
    <t xml:space="preserve">  1154176C</t>
  </si>
  <si>
    <t xml:space="preserve">  1154176D</t>
  </si>
  <si>
    <t xml:space="preserve">  1154176B</t>
  </si>
  <si>
    <t xml:space="preserve">  9219013A</t>
  </si>
  <si>
    <t xml:space="preserve">  1155679B</t>
  </si>
  <si>
    <t xml:space="preserve">  1101251E</t>
  </si>
  <si>
    <t xml:space="preserve">  10 502_Term</t>
  </si>
  <si>
    <t xml:space="preserve">  1067001C</t>
  </si>
  <si>
    <t xml:space="preserve">  1154290B</t>
  </si>
  <si>
    <t xml:space="preserve">  1154290C</t>
  </si>
  <si>
    <t xml:space="preserve">  1154281A</t>
  </si>
  <si>
    <t xml:space="preserve">  1101455G</t>
  </si>
  <si>
    <t xml:space="preserve">  3272966A</t>
  </si>
  <si>
    <t xml:space="preserve">  3453260A</t>
  </si>
  <si>
    <t xml:space="preserve">  1101277B</t>
  </si>
  <si>
    <t xml:space="preserve">  1101447A</t>
  </si>
  <si>
    <t xml:space="preserve">  1101471A</t>
  </si>
  <si>
    <t xml:space="preserve">  1101480A</t>
  </si>
  <si>
    <t xml:space="preserve">  2479567B</t>
  </si>
  <si>
    <t xml:space="preserve">  1101382D</t>
  </si>
  <si>
    <t xml:space="preserve">  1101382E</t>
  </si>
  <si>
    <t xml:space="preserve">  4916671A</t>
  </si>
  <si>
    <t xml:space="preserve">  1067028B</t>
  </si>
  <si>
    <t xml:space="preserve">  1067028C</t>
  </si>
  <si>
    <t xml:space="preserve">  1067010C</t>
  </si>
  <si>
    <t xml:space="preserve">  1154087A</t>
  </si>
  <si>
    <t xml:space="preserve">  1067036B</t>
  </si>
  <si>
    <t xml:space="preserve">  1154435A</t>
  </si>
  <si>
    <t xml:space="preserve">  1067141C</t>
  </si>
  <si>
    <t xml:space="preserve">  1154290A</t>
  </si>
  <si>
    <t xml:space="preserve">  1067109C</t>
  </si>
  <si>
    <t xml:space="preserve">  1102974A</t>
  </si>
  <si>
    <t xml:space="preserve">  1102982A</t>
  </si>
  <si>
    <t xml:space="preserve">  1067125C</t>
  </si>
  <si>
    <t xml:space="preserve">  1154494A</t>
  </si>
  <si>
    <t xml:space="preserve">  1067184D</t>
  </si>
  <si>
    <t xml:space="preserve">  1067184C</t>
  </si>
  <si>
    <t xml:space="preserve">  1154591A</t>
  </si>
  <si>
    <t xml:space="preserve">  1103229A</t>
  </si>
  <si>
    <t xml:space="preserve">  1067117B</t>
  </si>
  <si>
    <t xml:space="preserve">  1154311A</t>
  </si>
  <si>
    <t xml:space="preserve">  1067133C</t>
  </si>
  <si>
    <t xml:space="preserve">  1103318A</t>
  </si>
  <si>
    <t xml:space="preserve">  1067176B</t>
  </si>
  <si>
    <t xml:space="preserve">  1067176C</t>
  </si>
  <si>
    <t xml:space="preserve">  1154401A</t>
  </si>
  <si>
    <t xml:space="preserve">  1154214A</t>
  </si>
  <si>
    <t xml:space="preserve">  1067184E</t>
  </si>
  <si>
    <t xml:space="preserve">  1154541A</t>
  </si>
  <si>
    <t xml:space="preserve">  1067192B</t>
  </si>
  <si>
    <t xml:space="preserve">  1103253A</t>
  </si>
  <si>
    <t xml:space="preserve">  1067192C</t>
  </si>
  <si>
    <t xml:space="preserve">  1103385A</t>
  </si>
  <si>
    <t xml:space="preserve">  1067206B</t>
  </si>
  <si>
    <t xml:space="preserve">  1103407A</t>
  </si>
  <si>
    <t>10755_LV_LOAD</t>
  </si>
  <si>
    <t xml:space="preserve">  10755_LV</t>
  </si>
  <si>
    <t>1354_LV_LOAD</t>
  </si>
  <si>
    <t xml:space="preserve">  1354_LV</t>
  </si>
  <si>
    <t>1357_LV_LOAD</t>
  </si>
  <si>
    <t xml:space="preserve">  1357_LV</t>
  </si>
  <si>
    <t>1360_LV_LOAD</t>
  </si>
  <si>
    <t xml:space="preserve">  1360_LV</t>
  </si>
  <si>
    <t>14224_LV_LOAD</t>
  </si>
  <si>
    <t xml:space="preserve">  14224_LV</t>
  </si>
  <si>
    <t>1436_LV_LOAD</t>
  </si>
  <si>
    <t xml:space="preserve">  1436_LV</t>
  </si>
  <si>
    <t>1437_LV_LOAD</t>
  </si>
  <si>
    <t xml:space="preserve">  1437_LV</t>
  </si>
  <si>
    <t>1438_LV_LOAD</t>
  </si>
  <si>
    <t xml:space="preserve">  1438_LV</t>
  </si>
  <si>
    <t>2205_LV_LOAD</t>
  </si>
  <si>
    <t xml:space="preserve">  2205_LV</t>
  </si>
  <si>
    <t>2238_LV_LOAD</t>
  </si>
  <si>
    <t xml:space="preserve">  2238_LV</t>
  </si>
  <si>
    <t>2241_LV_LOAD</t>
  </si>
  <si>
    <t xml:space="preserve">  2241_LV</t>
  </si>
  <si>
    <t>2242_LV_LOAD</t>
  </si>
  <si>
    <t xml:space="preserve">  2242_LV</t>
  </si>
  <si>
    <t>2246_LV_LOAD</t>
  </si>
  <si>
    <t xml:space="preserve">  2246_LV</t>
  </si>
  <si>
    <t>2250_LV_LOAD</t>
  </si>
  <si>
    <t xml:space="preserve">  2250_LV</t>
  </si>
  <si>
    <t>2353_LV_LOAD</t>
  </si>
  <si>
    <t xml:space="preserve">  2353_LV</t>
  </si>
  <si>
    <t>2366_LV_LOAD</t>
  </si>
  <si>
    <t xml:space="preserve">  2366_LV</t>
  </si>
  <si>
    <t>2372_LV_LOAD</t>
  </si>
  <si>
    <t xml:space="preserve">  2372_LV</t>
  </si>
  <si>
    <t>2402_LV_LOAD</t>
  </si>
  <si>
    <t xml:space="preserve">  2402_LV</t>
  </si>
  <si>
    <t>2405_LV_LOAD</t>
  </si>
  <si>
    <t xml:space="preserve">  2405_LV</t>
  </si>
  <si>
    <t>2412_LV_LOAD</t>
  </si>
  <si>
    <t xml:space="preserve">  2412_LV</t>
  </si>
  <si>
    <t>2421_LV_LOAD</t>
  </si>
  <si>
    <t xml:space="preserve">  2421_LV</t>
  </si>
  <si>
    <t>2641_LV_LOAD</t>
  </si>
  <si>
    <t xml:space="preserve">  2641_LV</t>
  </si>
  <si>
    <t>2663_LV_LOAD</t>
  </si>
  <si>
    <t xml:space="preserve">  2663_LV</t>
  </si>
  <si>
    <t>2679_LV_LOAD</t>
  </si>
  <si>
    <t xml:space="preserve">  2679_LV</t>
  </si>
  <si>
    <t>2753_LV_LOAD</t>
  </si>
  <si>
    <t xml:space="preserve">  2753_LV</t>
  </si>
  <si>
    <t>2754_LV_LOAD</t>
  </si>
  <si>
    <t xml:space="preserve">  2754_LV</t>
  </si>
  <si>
    <t>2768_LV_LOAD</t>
  </si>
  <si>
    <t xml:space="preserve">  2768_LV</t>
  </si>
  <si>
    <t>2777_LV_LOAD</t>
  </si>
  <si>
    <t xml:space="preserve">  2777_LV</t>
  </si>
  <si>
    <t>2778_LV_LOAD</t>
  </si>
  <si>
    <t xml:space="preserve">  2778_LV</t>
  </si>
  <si>
    <t>2820_LV_LOAD</t>
  </si>
  <si>
    <t xml:space="preserve">  2820_LV</t>
  </si>
  <si>
    <t>2821_LV_LOAD</t>
  </si>
  <si>
    <t xml:space="preserve">  2821_LV</t>
  </si>
  <si>
    <t>3770_LV_LOAD</t>
  </si>
  <si>
    <t xml:space="preserve">  3770_LV</t>
  </si>
  <si>
    <t>5043_LV_LOAD</t>
  </si>
  <si>
    <t xml:space="preserve">  5043_LV</t>
  </si>
  <si>
    <t>5981_LV_LOAD</t>
  </si>
  <si>
    <t xml:space="preserve">  5981_LV</t>
  </si>
  <si>
    <t>703719_LV_LOAD</t>
  </si>
  <si>
    <t xml:space="preserve">  703719_LV</t>
  </si>
  <si>
    <t>704517_LV_LOAD</t>
  </si>
  <si>
    <t xml:space="preserve">  704517_LV</t>
  </si>
  <si>
    <t>705180_LV_LOAD</t>
  </si>
  <si>
    <t xml:space="preserve">  705180_LV</t>
  </si>
  <si>
    <t>706157_LV_LOAD</t>
  </si>
  <si>
    <t xml:space="preserve">  706157_LV</t>
  </si>
  <si>
    <t>708305_LV_LOAD</t>
  </si>
  <si>
    <t xml:space="preserve">  708305_LV</t>
  </si>
  <si>
    <t>713722_LV_LOAD</t>
  </si>
  <si>
    <t xml:space="preserve">  713722_LV</t>
  </si>
  <si>
    <t>716636_LV_LOAD</t>
  </si>
  <si>
    <t xml:space="preserve">  716636_LV</t>
  </si>
  <si>
    <t>725416_LV_LOAD</t>
  </si>
  <si>
    <t xml:space="preserve">  725416_LV</t>
  </si>
  <si>
    <t>730082_LV_LOAD</t>
  </si>
  <si>
    <t xml:space="preserve">  730082_LV</t>
  </si>
  <si>
    <t>730199_LV_LOAD</t>
  </si>
  <si>
    <t xml:space="preserve">  730199_LV</t>
  </si>
  <si>
    <t>733005_LV_LOAD</t>
  </si>
  <si>
    <t xml:space="preserve">  733005_LV</t>
  </si>
  <si>
    <t>735969_LV_LOAD</t>
  </si>
  <si>
    <t xml:space="preserve">  735969_LV</t>
  </si>
  <si>
    <t>736594_LV_LOAD</t>
  </si>
  <si>
    <t xml:space="preserve">  736594_LV</t>
  </si>
  <si>
    <t>738639_LV_LOAD</t>
  </si>
  <si>
    <t xml:space="preserve">  738639_LV</t>
  </si>
  <si>
    <t>7985_LV_LOAD</t>
  </si>
  <si>
    <t xml:space="preserve">  7985_LV</t>
  </si>
  <si>
    <t>8628_LV_LOAD</t>
  </si>
  <si>
    <t xml:space="preserve">  8628_LV</t>
  </si>
  <si>
    <t>9712_LV_LOAD</t>
  </si>
  <si>
    <t xml:space="preserve">  9712_LV</t>
  </si>
  <si>
    <t>CONUCO</t>
  </si>
  <si>
    <t>CTO 10502</t>
  </si>
  <si>
    <t>AREVA</t>
  </si>
  <si>
    <t>MICOM P142</t>
  </si>
  <si>
    <t>IEC VI</t>
  </si>
  <si>
    <t>15/30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</si>
</sst>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[$-F400]h:mm:ss\ AM/P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AFBE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6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4" fillId="4" borderId="3" xfId="0" applyFont="1" applyFill="1" applyBorder="1" applyAlignment="1">
      <alignment horizontal="center" vertical="center" wrapText="1"/>
    </xf>
    <xf numFmtId="167" fontId="1" fillId="3" borderId="2" xfId="0" applyNumberFormat="1" applyFont="1" applyFill="1" applyBorder="1" applyAlignment="1">
      <alignment horizontal="center" vertical="center"/>
    </xf>
    <xf numFmtId="167" fontId="0" fillId="2" borderId="2" xfId="0" applyNumberFormat="1" applyFill="1" applyBorder="1"/>
    <xf numFmtId="167" fontId="0" fillId="0" borderId="2" xfId="0" applyNumberFormat="1" applyBorder="1"/>
    <xf numFmtId="167" fontId="0" fillId="0" borderId="0" xfId="0" applyNumberFormat="1"/>
    <xf numFmtId="0" fontId="4" fillId="9" borderId="5" xfId="0" applyFont="1" applyFill="1" applyBorder="1" applyAlignment="1">
      <alignment horizontal="center" vertical="center" wrapText="1"/>
    </xf>
    <xf numFmtId="49" fontId="5" fillId="9" borderId="5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49" fontId="5" fillId="9" borderId="10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top"/>
    </xf>
    <xf numFmtId="0" fontId="7" fillId="10" borderId="7" xfId="0" applyFont="1" applyFill="1" applyBorder="1" applyAlignment="1">
      <alignment vertical="top"/>
    </xf>
    <xf numFmtId="0" fontId="7" fillId="7" borderId="7" xfId="0" applyFont="1" applyFill="1" applyBorder="1" applyAlignment="1">
      <alignment vertical="top"/>
    </xf>
    <xf numFmtId="0" fontId="7" fillId="6" borderId="7" xfId="0" applyFont="1" applyFill="1" applyBorder="1" applyAlignment="1">
      <alignment vertical="top"/>
    </xf>
    <xf numFmtId="0" fontId="7" fillId="8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15</xdr:row>
      <xdr:rowOff>0</xdr:rowOff>
    </xdr:from>
    <xdr:to>
      <xdr:col>19</xdr:col>
      <xdr:colOff>115228</xdr:colOff>
      <xdr:row>52</xdr:row>
      <xdr:rowOff>29563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FCF79A-E3BB-D3F8-58AC-AA781DB3C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8575" y="3067050"/>
          <a:ext cx="6649378" cy="7078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7695-7C35-4D32-8757-458EB51FE073}">
  <dimension ref="A1:N217"/>
  <sheetViews>
    <sheetView zoomScale="85" zoomScaleNormal="85" workbookViewId="0">
      <selection activeCell="G11" sqref="G11"/>
    </sheetView>
  </sheetViews>
  <sheetFormatPr baseColWidth="10" defaultRowHeight="15" x14ac:dyDescent="0.25"/>
  <cols>
    <col min="1" max="1" width="7.85546875" bestFit="1" customWidth="1"/>
    <col min="2" max="2" width="9" bestFit="1" customWidth="1"/>
    <col min="3" max="3" width="7.28515625" bestFit="1" customWidth="1"/>
    <col min="4" max="4" width="13.7109375" bestFit="1" customWidth="1"/>
    <col min="5" max="5" width="11.140625" bestFit="1" customWidth="1"/>
    <col min="6" max="6" width="7.85546875" bestFit="1" customWidth="1"/>
    <col min="7" max="7" width="21" bestFit="1" customWidth="1"/>
    <col min="8" max="8" width="11.5703125" bestFit="1" customWidth="1"/>
    <col min="9" max="14" width="7.85546875" bestFit="1" customWidth="1"/>
  </cols>
  <sheetData>
    <row r="1" spans="1:14" x14ac:dyDescent="0.25">
      <c r="A1" s="37" t="s">
        <v>29</v>
      </c>
      <c r="B1" s="37" t="s">
        <v>59</v>
      </c>
      <c r="C1" s="37" t="s">
        <v>30</v>
      </c>
      <c r="D1" s="37" t="s">
        <v>31</v>
      </c>
      <c r="E1" s="37" t="s">
        <v>32</v>
      </c>
      <c r="F1" s="37" t="s">
        <v>33</v>
      </c>
      <c r="G1" s="37" t="s">
        <v>29</v>
      </c>
      <c r="H1" s="37" t="s">
        <v>56</v>
      </c>
      <c r="I1" s="37" t="s">
        <v>34</v>
      </c>
      <c r="J1" s="37" t="s">
        <v>35</v>
      </c>
      <c r="K1" s="37" t="s">
        <v>36</v>
      </c>
      <c r="L1" s="37" t="s">
        <v>37</v>
      </c>
      <c r="M1" s="37" t="s">
        <v>38</v>
      </c>
      <c r="N1" s="37" t="s">
        <v>39</v>
      </c>
    </row>
    <row r="2" spans="1:14" x14ac:dyDescent="0.25">
      <c r="A2" s="37"/>
      <c r="B2" s="37"/>
      <c r="C2" s="37"/>
      <c r="D2" s="37" t="s">
        <v>40</v>
      </c>
      <c r="E2" s="37" t="s">
        <v>40</v>
      </c>
      <c r="F2" s="37" t="s">
        <v>41</v>
      </c>
      <c r="G2" s="37"/>
      <c r="H2" s="37" t="s">
        <v>42</v>
      </c>
      <c r="I2" s="37" t="s">
        <v>43</v>
      </c>
      <c r="J2" s="37" t="s">
        <v>43</v>
      </c>
      <c r="K2" s="37" t="s">
        <v>44</v>
      </c>
      <c r="L2" s="37" t="s">
        <v>43</v>
      </c>
      <c r="M2" s="37" t="s">
        <v>43</v>
      </c>
      <c r="N2" s="37" t="s">
        <v>44</v>
      </c>
    </row>
    <row r="3" spans="1:14" x14ac:dyDescent="0.25">
      <c r="A3" s="38">
        <v>10400</v>
      </c>
      <c r="B3" s="38">
        <v>1103458</v>
      </c>
      <c r="C3" s="38" t="s">
        <v>76</v>
      </c>
      <c r="D3" s="38" t="s">
        <v>77</v>
      </c>
      <c r="E3" s="38" t="s">
        <v>78</v>
      </c>
      <c r="F3" s="38">
        <v>1.1999999999999999E-3</v>
      </c>
      <c r="G3" s="39" t="s">
        <v>54</v>
      </c>
      <c r="H3" s="39">
        <v>0.155</v>
      </c>
      <c r="I3" s="38">
        <v>8.0000000000000004E-4</v>
      </c>
      <c r="J3" s="38">
        <v>5.0000000000000001E-4</v>
      </c>
      <c r="K3" s="38">
        <v>0</v>
      </c>
      <c r="L3" s="38">
        <v>1.2999999999999999E-3</v>
      </c>
      <c r="M3" s="38">
        <v>5.0000000000000001E-4</v>
      </c>
      <c r="N3" s="38">
        <v>0</v>
      </c>
    </row>
    <row r="4" spans="1:14" x14ac:dyDescent="0.25">
      <c r="A4" s="40">
        <v>10833</v>
      </c>
      <c r="B4" s="40" t="s">
        <v>76</v>
      </c>
      <c r="C4" s="40" t="s">
        <v>76</v>
      </c>
      <c r="D4" s="40" t="s">
        <v>79</v>
      </c>
      <c r="E4" s="40">
        <v>1155245</v>
      </c>
      <c r="F4" s="40">
        <v>1.6500000000000001E-2</v>
      </c>
      <c r="G4" s="41" t="s">
        <v>54</v>
      </c>
      <c r="H4" s="41">
        <v>0.155</v>
      </c>
      <c r="I4" s="40">
        <v>1.0800000000000001E-2</v>
      </c>
      <c r="J4" s="40">
        <v>7.0000000000000001E-3</v>
      </c>
      <c r="K4" s="40">
        <v>0</v>
      </c>
      <c r="L4" s="40">
        <v>1.8100000000000002E-2</v>
      </c>
      <c r="M4" s="40">
        <v>6.7000000000000002E-3</v>
      </c>
      <c r="N4" s="40">
        <v>0</v>
      </c>
    </row>
    <row r="5" spans="1:14" x14ac:dyDescent="0.25">
      <c r="A5" s="38">
        <v>10834</v>
      </c>
      <c r="B5" s="38" t="s">
        <v>76</v>
      </c>
      <c r="C5" s="38" t="s">
        <v>76</v>
      </c>
      <c r="D5" s="38">
        <v>1155245</v>
      </c>
      <c r="E5" s="38">
        <v>1155270</v>
      </c>
      <c r="F5" s="38">
        <v>0.02</v>
      </c>
      <c r="G5" s="39" t="s">
        <v>54</v>
      </c>
      <c r="H5" s="39">
        <v>0.155</v>
      </c>
      <c r="I5" s="38">
        <v>1.3100000000000001E-2</v>
      </c>
      <c r="J5" s="38">
        <v>8.5000000000000006E-3</v>
      </c>
      <c r="K5" s="38">
        <v>0</v>
      </c>
      <c r="L5" s="38">
        <v>2.1899999999999999E-2</v>
      </c>
      <c r="M5" s="38">
        <v>8.2000000000000007E-3</v>
      </c>
      <c r="N5" s="38">
        <v>0</v>
      </c>
    </row>
    <row r="6" spans="1:14" x14ac:dyDescent="0.25">
      <c r="A6" s="40">
        <v>10835</v>
      </c>
      <c r="B6" s="40" t="s">
        <v>76</v>
      </c>
      <c r="C6" s="40" t="s">
        <v>76</v>
      </c>
      <c r="D6" s="40">
        <v>1155270</v>
      </c>
      <c r="E6" s="40">
        <v>1155253</v>
      </c>
      <c r="F6" s="40">
        <v>2.1399999999999999E-2</v>
      </c>
      <c r="G6" s="41" t="s">
        <v>54</v>
      </c>
      <c r="H6" s="41">
        <v>0.155</v>
      </c>
      <c r="I6" s="40">
        <v>1.41E-2</v>
      </c>
      <c r="J6" s="40">
        <v>9.1000000000000004E-3</v>
      </c>
      <c r="K6" s="40">
        <v>0</v>
      </c>
      <c r="L6" s="40">
        <v>2.3400000000000001E-2</v>
      </c>
      <c r="M6" s="40">
        <v>8.6999999999999994E-3</v>
      </c>
      <c r="N6" s="40">
        <v>0</v>
      </c>
    </row>
    <row r="7" spans="1:14" x14ac:dyDescent="0.25">
      <c r="A7" s="38">
        <v>10836</v>
      </c>
      <c r="B7" s="38" t="s">
        <v>76</v>
      </c>
      <c r="C7" s="38" t="s">
        <v>76</v>
      </c>
      <c r="D7" s="38">
        <v>1155253</v>
      </c>
      <c r="E7" s="38" t="s">
        <v>80</v>
      </c>
      <c r="F7" s="38">
        <v>6.1999999999999998E-3</v>
      </c>
      <c r="G7" s="39" t="s">
        <v>54</v>
      </c>
      <c r="H7" s="39">
        <v>0.155</v>
      </c>
      <c r="I7" s="38">
        <v>4.1000000000000003E-3</v>
      </c>
      <c r="J7" s="38">
        <v>2.5999999999999999E-3</v>
      </c>
      <c r="K7" s="38">
        <v>0</v>
      </c>
      <c r="L7" s="38">
        <v>6.7999999999999996E-3</v>
      </c>
      <c r="M7" s="38">
        <v>2.5000000000000001E-3</v>
      </c>
      <c r="N7" s="38">
        <v>0</v>
      </c>
    </row>
    <row r="8" spans="1:14" x14ac:dyDescent="0.25">
      <c r="A8" s="40">
        <v>10941</v>
      </c>
      <c r="B8" s="40" t="s">
        <v>76</v>
      </c>
      <c r="C8" s="40" t="s">
        <v>76</v>
      </c>
      <c r="D8" s="40" t="s">
        <v>81</v>
      </c>
      <c r="E8" s="40">
        <v>1155334</v>
      </c>
      <c r="F8" s="40">
        <v>1.6500000000000001E-2</v>
      </c>
      <c r="G8" s="41" t="s">
        <v>54</v>
      </c>
      <c r="H8" s="41">
        <v>0.155</v>
      </c>
      <c r="I8" s="40">
        <v>1.0800000000000001E-2</v>
      </c>
      <c r="J8" s="40">
        <v>7.0000000000000001E-3</v>
      </c>
      <c r="K8" s="40">
        <v>0</v>
      </c>
      <c r="L8" s="40">
        <v>1.8100000000000002E-2</v>
      </c>
      <c r="M8" s="40">
        <v>6.7000000000000002E-3</v>
      </c>
      <c r="N8" s="40">
        <v>0</v>
      </c>
    </row>
    <row r="9" spans="1:14" x14ac:dyDescent="0.25">
      <c r="A9" s="38">
        <v>10942</v>
      </c>
      <c r="B9" s="38" t="s">
        <v>76</v>
      </c>
      <c r="C9" s="38" t="s">
        <v>76</v>
      </c>
      <c r="D9" s="38">
        <v>1155334</v>
      </c>
      <c r="E9" s="38">
        <v>1155342</v>
      </c>
      <c r="F9" s="38">
        <v>1.9900000000000001E-2</v>
      </c>
      <c r="G9" s="39" t="s">
        <v>54</v>
      </c>
      <c r="H9" s="39">
        <v>0.155</v>
      </c>
      <c r="I9" s="38">
        <v>1.2999999999999999E-2</v>
      </c>
      <c r="J9" s="38">
        <v>8.5000000000000006E-3</v>
      </c>
      <c r="K9" s="38">
        <v>0</v>
      </c>
      <c r="L9" s="38">
        <v>2.18E-2</v>
      </c>
      <c r="M9" s="38">
        <v>8.0999999999999996E-3</v>
      </c>
      <c r="N9" s="38">
        <v>0</v>
      </c>
    </row>
    <row r="10" spans="1:14" x14ac:dyDescent="0.25">
      <c r="A10" s="40">
        <v>10943</v>
      </c>
      <c r="B10" s="40" t="s">
        <v>76</v>
      </c>
      <c r="C10" s="40" t="s">
        <v>76</v>
      </c>
      <c r="D10" s="40">
        <v>1155342</v>
      </c>
      <c r="E10" s="40">
        <v>1155351</v>
      </c>
      <c r="F10" s="40">
        <v>1.3899999999999999E-2</v>
      </c>
      <c r="G10" s="41" t="s">
        <v>54</v>
      </c>
      <c r="H10" s="41">
        <v>0.155</v>
      </c>
      <c r="I10" s="40">
        <v>9.1000000000000004E-3</v>
      </c>
      <c r="J10" s="40">
        <v>5.8999999999999999E-3</v>
      </c>
      <c r="K10" s="40">
        <v>0</v>
      </c>
      <c r="L10" s="40">
        <v>1.52E-2</v>
      </c>
      <c r="M10" s="40">
        <v>5.7000000000000002E-3</v>
      </c>
      <c r="N10" s="40">
        <v>0</v>
      </c>
    </row>
    <row r="11" spans="1:14" x14ac:dyDescent="0.25">
      <c r="A11" s="38">
        <v>10944</v>
      </c>
      <c r="B11" s="38" t="s">
        <v>76</v>
      </c>
      <c r="C11" s="38" t="s">
        <v>76</v>
      </c>
      <c r="D11" s="38">
        <v>1155351</v>
      </c>
      <c r="E11" s="38">
        <v>1155377</v>
      </c>
      <c r="F11" s="38">
        <v>2.24E-2</v>
      </c>
      <c r="G11" s="39" t="s">
        <v>54</v>
      </c>
      <c r="H11" s="39">
        <v>0.155</v>
      </c>
      <c r="I11" s="38">
        <v>1.47E-2</v>
      </c>
      <c r="J11" s="38">
        <v>9.5999999999999992E-3</v>
      </c>
      <c r="K11" s="38">
        <v>0</v>
      </c>
      <c r="L11" s="38">
        <v>2.4500000000000001E-2</v>
      </c>
      <c r="M11" s="38">
        <v>9.1000000000000004E-3</v>
      </c>
      <c r="N11" s="38">
        <v>0</v>
      </c>
    </row>
    <row r="12" spans="1:14" x14ac:dyDescent="0.25">
      <c r="A12" s="40">
        <v>10945</v>
      </c>
      <c r="B12" s="40" t="s">
        <v>76</v>
      </c>
      <c r="C12" s="40" t="s">
        <v>76</v>
      </c>
      <c r="D12" s="40">
        <v>1155377</v>
      </c>
      <c r="E12" s="40" t="s">
        <v>82</v>
      </c>
      <c r="F12" s="40">
        <v>8.0999999999999996E-3</v>
      </c>
      <c r="G12" s="41" t="s">
        <v>54</v>
      </c>
      <c r="H12" s="41">
        <v>0.155</v>
      </c>
      <c r="I12" s="40">
        <v>5.3E-3</v>
      </c>
      <c r="J12" s="40">
        <v>3.5000000000000001E-3</v>
      </c>
      <c r="K12" s="40">
        <v>0</v>
      </c>
      <c r="L12" s="40">
        <v>8.8999999999999999E-3</v>
      </c>
      <c r="M12" s="40">
        <v>3.3E-3</v>
      </c>
      <c r="N12" s="40">
        <v>0</v>
      </c>
    </row>
    <row r="13" spans="1:14" x14ac:dyDescent="0.25">
      <c r="A13" s="38">
        <v>10978</v>
      </c>
      <c r="B13" s="38" t="s">
        <v>76</v>
      </c>
      <c r="C13" s="38" t="s">
        <v>76</v>
      </c>
      <c r="D13" s="38" t="s">
        <v>83</v>
      </c>
      <c r="E13" s="38">
        <v>1155334</v>
      </c>
      <c r="F13" s="38">
        <v>1.6500000000000001E-2</v>
      </c>
      <c r="G13" s="39" t="s">
        <v>54</v>
      </c>
      <c r="H13" s="39">
        <v>0.155</v>
      </c>
      <c r="I13" s="38">
        <v>1.0800000000000001E-2</v>
      </c>
      <c r="J13" s="38">
        <v>7.0000000000000001E-3</v>
      </c>
      <c r="K13" s="38">
        <v>0</v>
      </c>
      <c r="L13" s="38">
        <v>1.8100000000000002E-2</v>
      </c>
      <c r="M13" s="38">
        <v>6.7000000000000002E-3</v>
      </c>
      <c r="N13" s="38">
        <v>0</v>
      </c>
    </row>
    <row r="14" spans="1:14" x14ac:dyDescent="0.25">
      <c r="A14" s="40">
        <v>10979</v>
      </c>
      <c r="B14" s="40" t="s">
        <v>76</v>
      </c>
      <c r="C14" s="40" t="s">
        <v>76</v>
      </c>
      <c r="D14" s="40">
        <v>1155334</v>
      </c>
      <c r="E14" s="40" t="s">
        <v>84</v>
      </c>
      <c r="F14" s="40">
        <v>1.43E-2</v>
      </c>
      <c r="G14" s="41" t="s">
        <v>54</v>
      </c>
      <c r="H14" s="41">
        <v>0.155</v>
      </c>
      <c r="I14" s="40">
        <v>9.4000000000000004E-3</v>
      </c>
      <c r="J14" s="40">
        <v>6.1000000000000004E-3</v>
      </c>
      <c r="K14" s="40">
        <v>0</v>
      </c>
      <c r="L14" s="40">
        <v>1.5699999999999999E-2</v>
      </c>
      <c r="M14" s="40">
        <v>5.7999999999999996E-3</v>
      </c>
      <c r="N14" s="40">
        <v>0</v>
      </c>
    </row>
    <row r="15" spans="1:14" x14ac:dyDescent="0.25">
      <c r="A15" s="38">
        <v>11284</v>
      </c>
      <c r="B15" s="38" t="s">
        <v>76</v>
      </c>
      <c r="C15" s="38" t="s">
        <v>76</v>
      </c>
      <c r="D15" s="38" t="s">
        <v>85</v>
      </c>
      <c r="E15" s="38">
        <v>1155741</v>
      </c>
      <c r="F15" s="38">
        <v>1.6500000000000001E-2</v>
      </c>
      <c r="G15" s="39" t="s">
        <v>54</v>
      </c>
      <c r="H15" s="39">
        <v>0.155</v>
      </c>
      <c r="I15" s="38">
        <v>1.0800000000000001E-2</v>
      </c>
      <c r="J15" s="38">
        <v>7.0000000000000001E-3</v>
      </c>
      <c r="K15" s="38">
        <v>0</v>
      </c>
      <c r="L15" s="38">
        <v>1.8100000000000002E-2</v>
      </c>
      <c r="M15" s="38">
        <v>6.7000000000000002E-3</v>
      </c>
      <c r="N15" s="38">
        <v>0</v>
      </c>
    </row>
    <row r="16" spans="1:14" x14ac:dyDescent="0.25">
      <c r="A16" s="40">
        <v>11285</v>
      </c>
      <c r="B16" s="40" t="s">
        <v>76</v>
      </c>
      <c r="C16" s="40" t="s">
        <v>76</v>
      </c>
      <c r="D16" s="40">
        <v>1155741</v>
      </c>
      <c r="E16" s="40">
        <v>1155750</v>
      </c>
      <c r="F16" s="40">
        <v>2.5999999999999999E-2</v>
      </c>
      <c r="G16" s="41" t="s">
        <v>54</v>
      </c>
      <c r="H16" s="41">
        <v>0.155</v>
      </c>
      <c r="I16" s="40">
        <v>1.7100000000000001E-2</v>
      </c>
      <c r="J16" s="40">
        <v>1.11E-2</v>
      </c>
      <c r="K16" s="40">
        <v>0</v>
      </c>
      <c r="L16" s="40">
        <v>2.8500000000000001E-2</v>
      </c>
      <c r="M16" s="40">
        <v>1.06E-2</v>
      </c>
      <c r="N16" s="40">
        <v>0</v>
      </c>
    </row>
    <row r="17" spans="1:14" x14ac:dyDescent="0.25">
      <c r="A17" s="38">
        <v>11286</v>
      </c>
      <c r="B17" s="38" t="s">
        <v>76</v>
      </c>
      <c r="C17" s="38" t="s">
        <v>76</v>
      </c>
      <c r="D17" s="38">
        <v>1155750</v>
      </c>
      <c r="E17" s="38" t="s">
        <v>86</v>
      </c>
      <c r="F17" s="38">
        <v>4.4000000000000003E-3</v>
      </c>
      <c r="G17" s="39" t="s">
        <v>54</v>
      </c>
      <c r="H17" s="39">
        <v>0.155</v>
      </c>
      <c r="I17" s="38">
        <v>2.8999999999999998E-3</v>
      </c>
      <c r="J17" s="38">
        <v>1.9E-3</v>
      </c>
      <c r="K17" s="38">
        <v>0</v>
      </c>
      <c r="L17" s="38">
        <v>4.7999999999999996E-3</v>
      </c>
      <c r="M17" s="38">
        <v>1.8E-3</v>
      </c>
      <c r="N17" s="38">
        <v>0</v>
      </c>
    </row>
    <row r="18" spans="1:14" x14ac:dyDescent="0.25">
      <c r="A18" s="40">
        <v>11287</v>
      </c>
      <c r="B18" s="40" t="s">
        <v>76</v>
      </c>
      <c r="C18" s="40" t="s">
        <v>76</v>
      </c>
      <c r="D18" s="40" t="s">
        <v>87</v>
      </c>
      <c r="E18" s="40">
        <v>1155741</v>
      </c>
      <c r="F18" s="40">
        <v>1.6500000000000001E-2</v>
      </c>
      <c r="G18" s="41" t="s">
        <v>54</v>
      </c>
      <c r="H18" s="41">
        <v>0.155</v>
      </c>
      <c r="I18" s="40">
        <v>1.0800000000000001E-2</v>
      </c>
      <c r="J18" s="40">
        <v>7.0000000000000001E-3</v>
      </c>
      <c r="K18" s="40">
        <v>0</v>
      </c>
      <c r="L18" s="40">
        <v>1.8100000000000002E-2</v>
      </c>
      <c r="M18" s="40">
        <v>6.7000000000000002E-3</v>
      </c>
      <c r="N18" s="40">
        <v>0</v>
      </c>
    </row>
    <row r="19" spans="1:14" x14ac:dyDescent="0.25">
      <c r="A19" s="38">
        <v>11288</v>
      </c>
      <c r="B19" s="38" t="s">
        <v>76</v>
      </c>
      <c r="C19" s="38" t="s">
        <v>76</v>
      </c>
      <c r="D19" s="38">
        <v>1155741</v>
      </c>
      <c r="E19" s="38">
        <v>1155792</v>
      </c>
      <c r="F19" s="38">
        <v>1.9099999999999999E-2</v>
      </c>
      <c r="G19" s="39" t="s">
        <v>54</v>
      </c>
      <c r="H19" s="39">
        <v>0.155</v>
      </c>
      <c r="I19" s="38">
        <v>1.2500000000000001E-2</v>
      </c>
      <c r="J19" s="38">
        <v>8.0999999999999996E-3</v>
      </c>
      <c r="K19" s="38">
        <v>0</v>
      </c>
      <c r="L19" s="38">
        <v>2.0899999999999998E-2</v>
      </c>
      <c r="M19" s="38">
        <v>7.7999999999999996E-3</v>
      </c>
      <c r="N19" s="38">
        <v>0</v>
      </c>
    </row>
    <row r="20" spans="1:14" x14ac:dyDescent="0.25">
      <c r="A20" s="40">
        <v>11289</v>
      </c>
      <c r="B20" s="40" t="s">
        <v>76</v>
      </c>
      <c r="C20" s="40" t="s">
        <v>76</v>
      </c>
      <c r="D20" s="40">
        <v>1155792</v>
      </c>
      <c r="E20" s="40">
        <v>1155806</v>
      </c>
      <c r="F20" s="40">
        <v>3.5200000000000002E-2</v>
      </c>
      <c r="G20" s="41" t="s">
        <v>54</v>
      </c>
      <c r="H20" s="41">
        <v>0.155</v>
      </c>
      <c r="I20" s="40">
        <v>2.3099999999999999E-2</v>
      </c>
      <c r="J20" s="40">
        <v>1.4999999999999999E-2</v>
      </c>
      <c r="K20" s="40">
        <v>0</v>
      </c>
      <c r="L20" s="40">
        <v>3.8600000000000002E-2</v>
      </c>
      <c r="M20" s="40">
        <v>1.44E-2</v>
      </c>
      <c r="N20" s="40">
        <v>0</v>
      </c>
    </row>
    <row r="21" spans="1:14" x14ac:dyDescent="0.25">
      <c r="A21" s="38">
        <v>11290</v>
      </c>
      <c r="B21" s="38" t="s">
        <v>76</v>
      </c>
      <c r="C21" s="38" t="s">
        <v>76</v>
      </c>
      <c r="D21" s="38">
        <v>1155806</v>
      </c>
      <c r="E21" s="38" t="s">
        <v>88</v>
      </c>
      <c r="F21" s="38">
        <v>8.0999999999999996E-3</v>
      </c>
      <c r="G21" s="39" t="s">
        <v>54</v>
      </c>
      <c r="H21" s="39">
        <v>0.155</v>
      </c>
      <c r="I21" s="38">
        <v>5.3E-3</v>
      </c>
      <c r="J21" s="38">
        <v>3.5000000000000001E-3</v>
      </c>
      <c r="K21" s="38">
        <v>0</v>
      </c>
      <c r="L21" s="38">
        <v>8.8999999999999999E-3</v>
      </c>
      <c r="M21" s="38">
        <v>3.3E-3</v>
      </c>
      <c r="N21" s="38">
        <v>0</v>
      </c>
    </row>
    <row r="22" spans="1:14" x14ac:dyDescent="0.25">
      <c r="A22" s="40">
        <v>11342</v>
      </c>
      <c r="B22" s="40" t="s">
        <v>76</v>
      </c>
      <c r="C22" s="40" t="s">
        <v>76</v>
      </c>
      <c r="D22" s="40" t="s">
        <v>89</v>
      </c>
      <c r="E22" s="40">
        <v>1155849</v>
      </c>
      <c r="F22" s="40">
        <v>1.6500000000000001E-2</v>
      </c>
      <c r="G22" s="41" t="s">
        <v>54</v>
      </c>
      <c r="H22" s="41">
        <v>0.155</v>
      </c>
      <c r="I22" s="40">
        <v>1.0800000000000001E-2</v>
      </c>
      <c r="J22" s="40">
        <v>7.0000000000000001E-3</v>
      </c>
      <c r="K22" s="40">
        <v>0</v>
      </c>
      <c r="L22" s="40">
        <v>1.8100000000000002E-2</v>
      </c>
      <c r="M22" s="40">
        <v>6.7000000000000002E-3</v>
      </c>
      <c r="N22" s="40">
        <v>0</v>
      </c>
    </row>
    <row r="23" spans="1:14" x14ac:dyDescent="0.25">
      <c r="A23" s="38">
        <v>11343</v>
      </c>
      <c r="B23" s="38" t="s">
        <v>76</v>
      </c>
      <c r="C23" s="38" t="s">
        <v>76</v>
      </c>
      <c r="D23" s="38">
        <v>1155849</v>
      </c>
      <c r="E23" s="38">
        <v>1155857</v>
      </c>
      <c r="F23" s="38">
        <v>2.2100000000000002E-2</v>
      </c>
      <c r="G23" s="39" t="s">
        <v>54</v>
      </c>
      <c r="H23" s="39">
        <v>0.155</v>
      </c>
      <c r="I23" s="38">
        <v>1.4500000000000001E-2</v>
      </c>
      <c r="J23" s="38">
        <v>9.4000000000000004E-3</v>
      </c>
      <c r="K23" s="38">
        <v>0</v>
      </c>
      <c r="L23" s="38">
        <v>2.4199999999999999E-2</v>
      </c>
      <c r="M23" s="38">
        <v>8.9999999999999993E-3</v>
      </c>
      <c r="N23" s="38">
        <v>0</v>
      </c>
    </row>
    <row r="24" spans="1:14" x14ac:dyDescent="0.25">
      <c r="A24" s="40">
        <v>11344</v>
      </c>
      <c r="B24" s="40" t="s">
        <v>76</v>
      </c>
      <c r="C24" s="40" t="s">
        <v>76</v>
      </c>
      <c r="D24" s="40">
        <v>1155857</v>
      </c>
      <c r="E24" s="40" t="s">
        <v>90</v>
      </c>
      <c r="F24" s="40">
        <v>7.7000000000000002E-3</v>
      </c>
      <c r="G24" s="41" t="s">
        <v>54</v>
      </c>
      <c r="H24" s="41">
        <v>0.155</v>
      </c>
      <c r="I24" s="40">
        <v>5.1000000000000004E-3</v>
      </c>
      <c r="J24" s="40">
        <v>3.3E-3</v>
      </c>
      <c r="K24" s="40">
        <v>0</v>
      </c>
      <c r="L24" s="40">
        <v>8.5000000000000006E-3</v>
      </c>
      <c r="M24" s="40">
        <v>3.2000000000000002E-3</v>
      </c>
      <c r="N24" s="40">
        <v>0</v>
      </c>
    </row>
    <row r="25" spans="1:14" x14ac:dyDescent="0.25">
      <c r="A25" s="38">
        <v>11381</v>
      </c>
      <c r="B25" s="38" t="s">
        <v>76</v>
      </c>
      <c r="C25" s="38" t="s">
        <v>76</v>
      </c>
      <c r="D25" s="38" t="s">
        <v>91</v>
      </c>
      <c r="E25" s="38">
        <v>1155938</v>
      </c>
      <c r="F25" s="38">
        <v>1.6500000000000001E-2</v>
      </c>
      <c r="G25" s="39" t="s">
        <v>54</v>
      </c>
      <c r="H25" s="39">
        <v>0.155</v>
      </c>
      <c r="I25" s="38">
        <v>1.0800000000000001E-2</v>
      </c>
      <c r="J25" s="38">
        <v>7.0000000000000001E-3</v>
      </c>
      <c r="K25" s="38">
        <v>0</v>
      </c>
      <c r="L25" s="38">
        <v>1.8100000000000002E-2</v>
      </c>
      <c r="M25" s="38">
        <v>6.7000000000000002E-3</v>
      </c>
      <c r="N25" s="38">
        <v>0</v>
      </c>
    </row>
    <row r="26" spans="1:14" x14ac:dyDescent="0.25">
      <c r="A26" s="40">
        <v>11382</v>
      </c>
      <c r="B26" s="40" t="s">
        <v>76</v>
      </c>
      <c r="C26" s="40" t="s">
        <v>76</v>
      </c>
      <c r="D26" s="40">
        <v>1155938</v>
      </c>
      <c r="E26" s="40" t="s">
        <v>92</v>
      </c>
      <c r="F26" s="40">
        <v>3.1600000000000003E-2</v>
      </c>
      <c r="G26" s="41" t="s">
        <v>54</v>
      </c>
      <c r="H26" s="41">
        <v>0.155</v>
      </c>
      <c r="I26" s="40">
        <v>2.0799999999999999E-2</v>
      </c>
      <c r="J26" s="40">
        <v>1.35E-2</v>
      </c>
      <c r="K26" s="40">
        <v>0</v>
      </c>
      <c r="L26" s="40">
        <v>3.4599999999999999E-2</v>
      </c>
      <c r="M26" s="40">
        <v>1.29E-2</v>
      </c>
      <c r="N26" s="40">
        <v>0</v>
      </c>
    </row>
    <row r="27" spans="1:14" x14ac:dyDescent="0.25">
      <c r="A27" s="38">
        <v>11383</v>
      </c>
      <c r="B27" s="38" t="s">
        <v>76</v>
      </c>
      <c r="C27" s="38" t="s">
        <v>76</v>
      </c>
      <c r="D27" s="38" t="s">
        <v>93</v>
      </c>
      <c r="E27" s="38">
        <v>1155652</v>
      </c>
      <c r="F27" s="38">
        <v>1.6500000000000001E-2</v>
      </c>
      <c r="G27" s="39" t="s">
        <v>54</v>
      </c>
      <c r="H27" s="39">
        <v>0.155</v>
      </c>
      <c r="I27" s="38">
        <v>1.0800000000000001E-2</v>
      </c>
      <c r="J27" s="38">
        <v>7.0000000000000001E-3</v>
      </c>
      <c r="K27" s="38">
        <v>0</v>
      </c>
      <c r="L27" s="38">
        <v>1.8100000000000002E-2</v>
      </c>
      <c r="M27" s="38">
        <v>6.7000000000000002E-3</v>
      </c>
      <c r="N27" s="38">
        <v>0</v>
      </c>
    </row>
    <row r="28" spans="1:14" x14ac:dyDescent="0.25">
      <c r="A28" s="40">
        <v>11384</v>
      </c>
      <c r="B28" s="40" t="s">
        <v>76</v>
      </c>
      <c r="C28" s="40" t="s">
        <v>76</v>
      </c>
      <c r="D28" s="40">
        <v>1155652</v>
      </c>
      <c r="E28" s="40">
        <v>1155971</v>
      </c>
      <c r="F28" s="40">
        <v>1.17E-2</v>
      </c>
      <c r="G28" s="41" t="s">
        <v>54</v>
      </c>
      <c r="H28" s="41">
        <v>0.155</v>
      </c>
      <c r="I28" s="40">
        <v>7.7000000000000002E-3</v>
      </c>
      <c r="J28" s="40">
        <v>5.0000000000000001E-3</v>
      </c>
      <c r="K28" s="40">
        <v>0</v>
      </c>
      <c r="L28" s="40">
        <v>1.2800000000000001E-2</v>
      </c>
      <c r="M28" s="40">
        <v>4.7999999999999996E-3</v>
      </c>
      <c r="N28" s="40">
        <v>0</v>
      </c>
    </row>
    <row r="29" spans="1:14" x14ac:dyDescent="0.25">
      <c r="A29" s="38">
        <v>11385</v>
      </c>
      <c r="B29" s="38" t="s">
        <v>76</v>
      </c>
      <c r="C29" s="38" t="s">
        <v>76</v>
      </c>
      <c r="D29" s="38">
        <v>1155971</v>
      </c>
      <c r="E29" s="38" t="s">
        <v>94</v>
      </c>
      <c r="F29" s="38">
        <v>3.8999999999999998E-3</v>
      </c>
      <c r="G29" s="39" t="s">
        <v>54</v>
      </c>
      <c r="H29" s="39">
        <v>0.155</v>
      </c>
      <c r="I29" s="38">
        <v>2.5999999999999999E-3</v>
      </c>
      <c r="J29" s="38">
        <v>1.6999999999999999E-3</v>
      </c>
      <c r="K29" s="38">
        <v>0</v>
      </c>
      <c r="L29" s="38">
        <v>4.3E-3</v>
      </c>
      <c r="M29" s="38">
        <v>1.6000000000000001E-3</v>
      </c>
      <c r="N29" s="38">
        <v>0</v>
      </c>
    </row>
    <row r="30" spans="1:14" x14ac:dyDescent="0.25">
      <c r="A30" s="40">
        <v>15348</v>
      </c>
      <c r="B30" s="40" t="s">
        <v>76</v>
      </c>
      <c r="C30" s="40" t="s">
        <v>76</v>
      </c>
      <c r="D30" s="40" t="s">
        <v>95</v>
      </c>
      <c r="E30" s="40">
        <v>1667238</v>
      </c>
      <c r="F30" s="40">
        <v>1.6500000000000001E-2</v>
      </c>
      <c r="G30" s="41" t="s">
        <v>54</v>
      </c>
      <c r="H30" s="41">
        <v>0.155</v>
      </c>
      <c r="I30" s="40">
        <v>1.0800000000000001E-2</v>
      </c>
      <c r="J30" s="40">
        <v>7.0000000000000001E-3</v>
      </c>
      <c r="K30" s="40">
        <v>0</v>
      </c>
      <c r="L30" s="40">
        <v>1.8100000000000002E-2</v>
      </c>
      <c r="M30" s="40">
        <v>6.7000000000000002E-3</v>
      </c>
      <c r="N30" s="40">
        <v>0</v>
      </c>
    </row>
    <row r="31" spans="1:14" x14ac:dyDescent="0.25">
      <c r="A31" s="38">
        <v>15349</v>
      </c>
      <c r="B31" s="38" t="s">
        <v>76</v>
      </c>
      <c r="C31" s="38" t="s">
        <v>76</v>
      </c>
      <c r="D31" s="38">
        <v>1667238</v>
      </c>
      <c r="E31" s="38">
        <v>1103725</v>
      </c>
      <c r="F31" s="38">
        <v>2.5600000000000001E-2</v>
      </c>
      <c r="G31" s="39" t="s">
        <v>96</v>
      </c>
      <c r="H31" s="39">
        <v>0.39</v>
      </c>
      <c r="I31" s="38">
        <v>3.7000000000000002E-3</v>
      </c>
      <c r="J31" s="38">
        <v>3.3999999999999998E-3</v>
      </c>
      <c r="K31" s="38">
        <v>0</v>
      </c>
      <c r="L31" s="38">
        <v>5.1999999999999998E-3</v>
      </c>
      <c r="M31" s="38">
        <v>8.5000000000000006E-3</v>
      </c>
      <c r="N31" s="38">
        <v>0</v>
      </c>
    </row>
    <row r="32" spans="1:14" x14ac:dyDescent="0.25">
      <c r="A32" s="40">
        <v>15350</v>
      </c>
      <c r="B32" s="40" t="s">
        <v>76</v>
      </c>
      <c r="C32" s="40" t="s">
        <v>76</v>
      </c>
      <c r="D32" s="40">
        <v>1103725</v>
      </c>
      <c r="E32" s="40">
        <v>1154605</v>
      </c>
      <c r="F32" s="40">
        <v>1.9300000000000001E-2</v>
      </c>
      <c r="G32" s="41" t="s">
        <v>54</v>
      </c>
      <c r="H32" s="41">
        <v>0.155</v>
      </c>
      <c r="I32" s="40">
        <v>1.2699999999999999E-2</v>
      </c>
      <c r="J32" s="40">
        <v>8.3000000000000001E-3</v>
      </c>
      <c r="K32" s="40">
        <v>0</v>
      </c>
      <c r="L32" s="40">
        <v>2.12E-2</v>
      </c>
      <c r="M32" s="40">
        <v>7.9000000000000008E-3</v>
      </c>
      <c r="N32" s="40">
        <v>0</v>
      </c>
    </row>
    <row r="33" spans="1:14" x14ac:dyDescent="0.25">
      <c r="A33" s="38">
        <v>15351</v>
      </c>
      <c r="B33" s="38" t="s">
        <v>76</v>
      </c>
      <c r="C33" s="38" t="s">
        <v>76</v>
      </c>
      <c r="D33" s="38">
        <v>1154605</v>
      </c>
      <c r="E33" s="38" t="s">
        <v>97</v>
      </c>
      <c r="F33" s="38">
        <v>5.0000000000000001E-3</v>
      </c>
      <c r="G33" s="39" t="s">
        <v>54</v>
      </c>
      <c r="H33" s="39">
        <v>0.155</v>
      </c>
      <c r="I33" s="38">
        <v>3.3E-3</v>
      </c>
      <c r="J33" s="38">
        <v>2.0999999999999999E-3</v>
      </c>
      <c r="K33" s="38">
        <v>0</v>
      </c>
      <c r="L33" s="38">
        <v>5.4999999999999997E-3</v>
      </c>
      <c r="M33" s="38">
        <v>2.0999999999999999E-3</v>
      </c>
      <c r="N33" s="38">
        <v>0</v>
      </c>
    </row>
    <row r="34" spans="1:14" x14ac:dyDescent="0.25">
      <c r="A34" s="40">
        <v>21781</v>
      </c>
      <c r="B34" s="40" t="s">
        <v>76</v>
      </c>
      <c r="C34" s="40" t="s">
        <v>76</v>
      </c>
      <c r="D34" s="40" t="s">
        <v>98</v>
      </c>
      <c r="E34" s="40">
        <v>2214130</v>
      </c>
      <c r="F34" s="40">
        <v>1.2E-2</v>
      </c>
      <c r="G34" s="41" t="s">
        <v>55</v>
      </c>
      <c r="H34" s="41">
        <v>0.2</v>
      </c>
      <c r="I34" s="40">
        <v>5.0000000000000001E-3</v>
      </c>
      <c r="J34" s="40">
        <v>1.9E-3</v>
      </c>
      <c r="K34" s="40">
        <v>0</v>
      </c>
      <c r="L34" s="40">
        <v>8.0000000000000002E-3</v>
      </c>
      <c r="M34" s="40">
        <v>4.8999999999999998E-3</v>
      </c>
      <c r="N34" s="40">
        <v>0</v>
      </c>
    </row>
    <row r="35" spans="1:14" x14ac:dyDescent="0.25">
      <c r="A35" s="38">
        <v>21782</v>
      </c>
      <c r="B35" s="38" t="s">
        <v>76</v>
      </c>
      <c r="C35" s="38" t="s">
        <v>76</v>
      </c>
      <c r="D35" s="38">
        <v>2214130</v>
      </c>
      <c r="E35" s="38">
        <v>2214148</v>
      </c>
      <c r="F35" s="38">
        <v>2.0299999999999999E-2</v>
      </c>
      <c r="G35" s="39" t="s">
        <v>55</v>
      </c>
      <c r="H35" s="39">
        <v>0.2</v>
      </c>
      <c r="I35" s="38">
        <v>8.5000000000000006E-3</v>
      </c>
      <c r="J35" s="38">
        <v>3.3E-3</v>
      </c>
      <c r="K35" s="38">
        <v>0</v>
      </c>
      <c r="L35" s="38">
        <v>1.35E-2</v>
      </c>
      <c r="M35" s="38">
        <v>8.3000000000000001E-3</v>
      </c>
      <c r="N35" s="38">
        <v>0</v>
      </c>
    </row>
    <row r="36" spans="1:14" x14ac:dyDescent="0.25">
      <c r="A36" s="40">
        <v>21783</v>
      </c>
      <c r="B36" s="40" t="s">
        <v>76</v>
      </c>
      <c r="C36" s="40" t="s">
        <v>76</v>
      </c>
      <c r="D36" s="40">
        <v>2214148</v>
      </c>
      <c r="E36" s="40" t="s">
        <v>99</v>
      </c>
      <c r="F36" s="40">
        <v>7.7999999999999996E-3</v>
      </c>
      <c r="G36" s="41" t="s">
        <v>55</v>
      </c>
      <c r="H36" s="41">
        <v>0.2</v>
      </c>
      <c r="I36" s="40">
        <v>3.3E-3</v>
      </c>
      <c r="J36" s="40">
        <v>1.2999999999999999E-3</v>
      </c>
      <c r="K36" s="40">
        <v>0</v>
      </c>
      <c r="L36" s="40">
        <v>5.1999999999999998E-3</v>
      </c>
      <c r="M36" s="40">
        <v>3.2000000000000002E-3</v>
      </c>
      <c r="N36" s="40">
        <v>0</v>
      </c>
    </row>
    <row r="37" spans="1:14" x14ac:dyDescent="0.25">
      <c r="A37" s="38">
        <v>26711</v>
      </c>
      <c r="B37" s="38" t="s">
        <v>76</v>
      </c>
      <c r="C37" s="38" t="s">
        <v>76</v>
      </c>
      <c r="D37" s="38">
        <v>1155270</v>
      </c>
      <c r="E37" s="38">
        <v>1155253</v>
      </c>
      <c r="F37" s="38">
        <v>2.1399999999999999E-2</v>
      </c>
      <c r="G37" s="39" t="s">
        <v>54</v>
      </c>
      <c r="H37" s="39">
        <v>0.155</v>
      </c>
      <c r="I37" s="38">
        <v>1.41E-2</v>
      </c>
      <c r="J37" s="38">
        <v>9.1000000000000004E-3</v>
      </c>
      <c r="K37" s="38">
        <v>0</v>
      </c>
      <c r="L37" s="38">
        <v>2.3400000000000001E-2</v>
      </c>
      <c r="M37" s="38">
        <v>8.6999999999999994E-3</v>
      </c>
      <c r="N37" s="38">
        <v>0</v>
      </c>
    </row>
    <row r="38" spans="1:14" x14ac:dyDescent="0.25">
      <c r="A38" s="40">
        <v>26712</v>
      </c>
      <c r="B38" s="40" t="s">
        <v>76</v>
      </c>
      <c r="C38" s="40" t="s">
        <v>76</v>
      </c>
      <c r="D38" s="40">
        <v>1155253</v>
      </c>
      <c r="E38" s="40">
        <v>2567814</v>
      </c>
      <c r="F38" s="40">
        <v>5.4000000000000003E-3</v>
      </c>
      <c r="G38" s="41" t="s">
        <v>54</v>
      </c>
      <c r="H38" s="41">
        <v>0.155</v>
      </c>
      <c r="I38" s="40">
        <v>3.5000000000000001E-3</v>
      </c>
      <c r="J38" s="40">
        <v>2.3E-3</v>
      </c>
      <c r="K38" s="40">
        <v>0</v>
      </c>
      <c r="L38" s="40">
        <v>5.8999999999999999E-3</v>
      </c>
      <c r="M38" s="40">
        <v>2.2000000000000001E-3</v>
      </c>
      <c r="N38" s="40">
        <v>0</v>
      </c>
    </row>
    <row r="39" spans="1:14" x14ac:dyDescent="0.25">
      <c r="A39" s="38">
        <v>26713</v>
      </c>
      <c r="B39" s="38" t="s">
        <v>76</v>
      </c>
      <c r="C39" s="38" t="s">
        <v>76</v>
      </c>
      <c r="D39" s="38">
        <v>2567814</v>
      </c>
      <c r="E39" s="38" t="s">
        <v>100</v>
      </c>
      <c r="F39" s="38">
        <v>5.7999999999999996E-3</v>
      </c>
      <c r="G39" s="39" t="s">
        <v>54</v>
      </c>
      <c r="H39" s="39">
        <v>0.155</v>
      </c>
      <c r="I39" s="38">
        <v>3.8E-3</v>
      </c>
      <c r="J39" s="38">
        <v>2.5000000000000001E-3</v>
      </c>
      <c r="K39" s="38">
        <v>0</v>
      </c>
      <c r="L39" s="38">
        <v>6.3E-3</v>
      </c>
      <c r="M39" s="38">
        <v>2.3999999999999998E-3</v>
      </c>
      <c r="N39" s="38">
        <v>0</v>
      </c>
    </row>
    <row r="40" spans="1:14" x14ac:dyDescent="0.25">
      <c r="A40" s="40">
        <v>26922</v>
      </c>
      <c r="B40" s="40">
        <v>1101455</v>
      </c>
      <c r="C40" s="40" t="s">
        <v>76</v>
      </c>
      <c r="D40" s="40" t="s">
        <v>101</v>
      </c>
      <c r="E40" s="40" t="s">
        <v>102</v>
      </c>
      <c r="F40" s="40">
        <v>1.1999999999999999E-3</v>
      </c>
      <c r="G40" s="41" t="s">
        <v>50</v>
      </c>
      <c r="H40" s="41">
        <v>0.24099999999999999</v>
      </c>
      <c r="I40" s="40">
        <v>5.9999999999999995E-4</v>
      </c>
      <c r="J40" s="40">
        <v>5.0000000000000001E-4</v>
      </c>
      <c r="K40" s="40">
        <v>4.4999999999999997E-3</v>
      </c>
      <c r="L40" s="40">
        <v>1E-3</v>
      </c>
      <c r="M40" s="40">
        <v>2.2000000000000001E-3</v>
      </c>
      <c r="N40" s="40">
        <v>2.0999999999999999E-3</v>
      </c>
    </row>
    <row r="41" spans="1:14" x14ac:dyDescent="0.25">
      <c r="A41" s="38">
        <v>40905</v>
      </c>
      <c r="B41" s="38" t="s">
        <v>76</v>
      </c>
      <c r="C41" s="38" t="s">
        <v>76</v>
      </c>
      <c r="D41" s="38" t="s">
        <v>103</v>
      </c>
      <c r="E41" s="38">
        <v>2765811</v>
      </c>
      <c r="F41" s="38">
        <v>1.6500000000000001E-2</v>
      </c>
      <c r="G41" s="39" t="s">
        <v>54</v>
      </c>
      <c r="H41" s="39">
        <v>0.155</v>
      </c>
      <c r="I41" s="38">
        <v>1.0800000000000001E-2</v>
      </c>
      <c r="J41" s="38">
        <v>7.0000000000000001E-3</v>
      </c>
      <c r="K41" s="38">
        <v>0</v>
      </c>
      <c r="L41" s="38">
        <v>1.8100000000000002E-2</v>
      </c>
      <c r="M41" s="38">
        <v>6.7000000000000002E-3</v>
      </c>
      <c r="N41" s="38">
        <v>0</v>
      </c>
    </row>
    <row r="42" spans="1:14" x14ac:dyDescent="0.25">
      <c r="A42" s="40">
        <v>40906</v>
      </c>
      <c r="B42" s="40" t="s">
        <v>76</v>
      </c>
      <c r="C42" s="40" t="s">
        <v>76</v>
      </c>
      <c r="D42" s="40">
        <v>2765811</v>
      </c>
      <c r="E42" s="40">
        <v>2765829</v>
      </c>
      <c r="F42" s="40">
        <v>2.06E-2</v>
      </c>
      <c r="G42" s="41" t="s">
        <v>54</v>
      </c>
      <c r="H42" s="41">
        <v>0.155</v>
      </c>
      <c r="I42" s="40">
        <v>1.35E-2</v>
      </c>
      <c r="J42" s="40">
        <v>8.8000000000000005E-3</v>
      </c>
      <c r="K42" s="40">
        <v>0</v>
      </c>
      <c r="L42" s="40">
        <v>2.2599999999999999E-2</v>
      </c>
      <c r="M42" s="40">
        <v>8.3999999999999995E-3</v>
      </c>
      <c r="N42" s="40">
        <v>0</v>
      </c>
    </row>
    <row r="43" spans="1:14" x14ac:dyDescent="0.25">
      <c r="A43" s="38">
        <v>40907</v>
      </c>
      <c r="B43" s="38" t="s">
        <v>76</v>
      </c>
      <c r="C43" s="38" t="s">
        <v>76</v>
      </c>
      <c r="D43" s="38">
        <v>2765829</v>
      </c>
      <c r="E43" s="38" t="s">
        <v>104</v>
      </c>
      <c r="F43" s="38">
        <v>2.3999999999999998E-3</v>
      </c>
      <c r="G43" s="39" t="s">
        <v>54</v>
      </c>
      <c r="H43" s="39">
        <v>0.155</v>
      </c>
      <c r="I43" s="38">
        <v>1.6000000000000001E-3</v>
      </c>
      <c r="J43" s="38">
        <v>1E-3</v>
      </c>
      <c r="K43" s="38">
        <v>0</v>
      </c>
      <c r="L43" s="38">
        <v>2.7000000000000001E-3</v>
      </c>
      <c r="M43" s="38">
        <v>1E-3</v>
      </c>
      <c r="N43" s="38">
        <v>0</v>
      </c>
    </row>
    <row r="44" spans="1:14" x14ac:dyDescent="0.25">
      <c r="A44" s="40">
        <v>47594</v>
      </c>
      <c r="B44" s="40" t="s">
        <v>76</v>
      </c>
      <c r="C44" s="40" t="s">
        <v>76</v>
      </c>
      <c r="D44" s="40" t="s">
        <v>105</v>
      </c>
      <c r="E44" s="40">
        <v>1155741</v>
      </c>
      <c r="F44" s="40">
        <v>1.6500000000000001E-2</v>
      </c>
      <c r="G44" s="41" t="s">
        <v>54</v>
      </c>
      <c r="H44" s="41">
        <v>0.155</v>
      </c>
      <c r="I44" s="40">
        <v>1.0800000000000001E-2</v>
      </c>
      <c r="J44" s="40">
        <v>7.0000000000000001E-3</v>
      </c>
      <c r="K44" s="40">
        <v>0</v>
      </c>
      <c r="L44" s="40">
        <v>1.8100000000000002E-2</v>
      </c>
      <c r="M44" s="40">
        <v>6.7000000000000002E-3</v>
      </c>
      <c r="N44" s="40">
        <v>0</v>
      </c>
    </row>
    <row r="45" spans="1:14" x14ac:dyDescent="0.25">
      <c r="A45" s="38">
        <v>47595</v>
      </c>
      <c r="B45" s="38" t="s">
        <v>76</v>
      </c>
      <c r="C45" s="38" t="s">
        <v>76</v>
      </c>
      <c r="D45" s="38">
        <v>1155741</v>
      </c>
      <c r="E45" s="38">
        <v>1155750</v>
      </c>
      <c r="F45" s="38">
        <v>2.5999999999999999E-2</v>
      </c>
      <c r="G45" s="39" t="s">
        <v>54</v>
      </c>
      <c r="H45" s="39">
        <v>0.155</v>
      </c>
      <c r="I45" s="38">
        <v>1.7100000000000001E-2</v>
      </c>
      <c r="J45" s="38">
        <v>1.11E-2</v>
      </c>
      <c r="K45" s="38">
        <v>0</v>
      </c>
      <c r="L45" s="38">
        <v>2.8500000000000001E-2</v>
      </c>
      <c r="M45" s="38">
        <v>1.06E-2</v>
      </c>
      <c r="N45" s="38">
        <v>0</v>
      </c>
    </row>
    <row r="46" spans="1:14" x14ac:dyDescent="0.25">
      <c r="A46" s="40">
        <v>47596</v>
      </c>
      <c r="B46" s="40" t="s">
        <v>76</v>
      </c>
      <c r="C46" s="40" t="s">
        <v>76</v>
      </c>
      <c r="D46" s="40">
        <v>1155750</v>
      </c>
      <c r="E46" s="40" t="s">
        <v>106</v>
      </c>
      <c r="F46" s="40">
        <v>3.32E-2</v>
      </c>
      <c r="G46" s="41" t="s">
        <v>54</v>
      </c>
      <c r="H46" s="41">
        <v>0.155</v>
      </c>
      <c r="I46" s="40">
        <v>2.18E-2</v>
      </c>
      <c r="J46" s="40">
        <v>1.4200000000000001E-2</v>
      </c>
      <c r="K46" s="40">
        <v>0</v>
      </c>
      <c r="L46" s="40">
        <v>3.6400000000000002E-2</v>
      </c>
      <c r="M46" s="40">
        <v>1.3599999999999999E-2</v>
      </c>
      <c r="N46" s="40">
        <v>0</v>
      </c>
    </row>
    <row r="47" spans="1:14" x14ac:dyDescent="0.25">
      <c r="A47" s="38">
        <v>47597</v>
      </c>
      <c r="B47" s="38" t="s">
        <v>76</v>
      </c>
      <c r="C47" s="38" t="s">
        <v>76</v>
      </c>
      <c r="D47" s="38" t="s">
        <v>106</v>
      </c>
      <c r="E47" s="38" t="s">
        <v>107</v>
      </c>
      <c r="F47" s="38">
        <v>9.5999999999999992E-3</v>
      </c>
      <c r="G47" s="39" t="s">
        <v>54</v>
      </c>
      <c r="H47" s="39">
        <v>0.155</v>
      </c>
      <c r="I47" s="38">
        <v>6.3E-3</v>
      </c>
      <c r="J47" s="38">
        <v>4.1000000000000003E-3</v>
      </c>
      <c r="K47" s="38">
        <v>0</v>
      </c>
      <c r="L47" s="38">
        <v>1.0500000000000001E-2</v>
      </c>
      <c r="M47" s="38">
        <v>3.8999999999999998E-3</v>
      </c>
      <c r="N47" s="38">
        <v>0</v>
      </c>
    </row>
    <row r="48" spans="1:14" x14ac:dyDescent="0.25">
      <c r="A48" s="40">
        <v>5105</v>
      </c>
      <c r="B48" s="40" t="s">
        <v>76</v>
      </c>
      <c r="C48" s="40" t="s">
        <v>76</v>
      </c>
      <c r="D48" s="40" t="s">
        <v>108</v>
      </c>
      <c r="E48" s="40">
        <v>1069438</v>
      </c>
      <c r="F48" s="40">
        <v>4.2299999999999997E-2</v>
      </c>
      <c r="G48" s="41" t="s">
        <v>109</v>
      </c>
      <c r="H48" s="41">
        <v>0.35499999999999998</v>
      </c>
      <c r="I48" s="40">
        <v>1.11E-2</v>
      </c>
      <c r="J48" s="40">
        <v>1.8200000000000001E-2</v>
      </c>
      <c r="K48" s="40">
        <v>0.17019999999999999</v>
      </c>
      <c r="L48" s="40">
        <v>2.4400000000000002E-2</v>
      </c>
      <c r="M48" s="40">
        <v>7.8100000000000003E-2</v>
      </c>
      <c r="N48" s="40">
        <v>7.6200000000000004E-2</v>
      </c>
    </row>
    <row r="49" spans="1:14" x14ac:dyDescent="0.25">
      <c r="A49" s="38">
        <v>5106</v>
      </c>
      <c r="B49" s="38" t="s">
        <v>76</v>
      </c>
      <c r="C49" s="38" t="s">
        <v>76</v>
      </c>
      <c r="D49" s="38">
        <v>1069438</v>
      </c>
      <c r="E49" s="38">
        <v>1069446</v>
      </c>
      <c r="F49" s="38">
        <v>9.8100000000000007E-2</v>
      </c>
      <c r="G49" s="39" t="s">
        <v>109</v>
      </c>
      <c r="H49" s="39">
        <v>0.35499999999999998</v>
      </c>
      <c r="I49" s="38">
        <v>2.5600000000000001E-2</v>
      </c>
      <c r="J49" s="38">
        <v>4.2200000000000001E-2</v>
      </c>
      <c r="K49" s="38">
        <v>0.39439999999999997</v>
      </c>
      <c r="L49" s="38">
        <v>5.6599999999999998E-2</v>
      </c>
      <c r="M49" s="38">
        <v>0.18090000000000001</v>
      </c>
      <c r="N49" s="38">
        <v>0.17649999999999999</v>
      </c>
    </row>
    <row r="50" spans="1:14" x14ac:dyDescent="0.25">
      <c r="A50" s="40">
        <v>5108</v>
      </c>
      <c r="B50" s="40" t="s">
        <v>76</v>
      </c>
      <c r="C50" s="40" t="s">
        <v>76</v>
      </c>
      <c r="D50" s="40">
        <v>1069446</v>
      </c>
      <c r="E50" s="40">
        <v>1069454</v>
      </c>
      <c r="F50" s="40">
        <v>2.47E-2</v>
      </c>
      <c r="G50" s="41" t="s">
        <v>109</v>
      </c>
      <c r="H50" s="41">
        <v>0.35499999999999998</v>
      </c>
      <c r="I50" s="40">
        <v>6.4999999999999997E-3</v>
      </c>
      <c r="J50" s="40">
        <v>1.06E-2</v>
      </c>
      <c r="K50" s="40">
        <v>9.9500000000000005E-2</v>
      </c>
      <c r="L50" s="40">
        <v>1.43E-2</v>
      </c>
      <c r="M50" s="40">
        <v>4.5600000000000002E-2</v>
      </c>
      <c r="N50" s="40">
        <v>4.4499999999999998E-2</v>
      </c>
    </row>
    <row r="51" spans="1:14" x14ac:dyDescent="0.25">
      <c r="A51" s="38">
        <v>5109</v>
      </c>
      <c r="B51" s="38" t="s">
        <v>76</v>
      </c>
      <c r="C51" s="38" t="s">
        <v>76</v>
      </c>
      <c r="D51" s="38">
        <v>1069454</v>
      </c>
      <c r="E51" s="38" t="s">
        <v>110</v>
      </c>
      <c r="F51" s="38">
        <v>0.04</v>
      </c>
      <c r="G51" s="39" t="s">
        <v>109</v>
      </c>
      <c r="H51" s="39">
        <v>0.35499999999999998</v>
      </c>
      <c r="I51" s="38">
        <v>1.04E-2</v>
      </c>
      <c r="J51" s="38">
        <v>1.72E-2</v>
      </c>
      <c r="K51" s="38">
        <v>0.16070000000000001</v>
      </c>
      <c r="L51" s="38">
        <v>2.3099999999999999E-2</v>
      </c>
      <c r="M51" s="38">
        <v>7.3700000000000002E-2</v>
      </c>
      <c r="N51" s="38">
        <v>7.1900000000000006E-2</v>
      </c>
    </row>
    <row r="52" spans="1:14" x14ac:dyDescent="0.25">
      <c r="A52" s="40">
        <v>5110</v>
      </c>
      <c r="B52" s="40" t="s">
        <v>76</v>
      </c>
      <c r="C52" s="40" t="s">
        <v>76</v>
      </c>
      <c r="D52" s="40" t="s">
        <v>110</v>
      </c>
      <c r="E52" s="40">
        <v>1069489</v>
      </c>
      <c r="F52" s="40">
        <v>7.0199999999999999E-2</v>
      </c>
      <c r="G52" s="41" t="s">
        <v>109</v>
      </c>
      <c r="H52" s="41">
        <v>0.35499999999999998</v>
      </c>
      <c r="I52" s="40">
        <v>1.83E-2</v>
      </c>
      <c r="J52" s="40">
        <v>3.0200000000000001E-2</v>
      </c>
      <c r="K52" s="40">
        <v>0.28210000000000002</v>
      </c>
      <c r="L52" s="40">
        <v>4.0500000000000001E-2</v>
      </c>
      <c r="M52" s="40">
        <v>0.12939999999999999</v>
      </c>
      <c r="N52" s="40">
        <v>0.1263</v>
      </c>
    </row>
    <row r="53" spans="1:14" x14ac:dyDescent="0.25">
      <c r="A53" s="38">
        <v>5111</v>
      </c>
      <c r="B53" s="38" t="s">
        <v>76</v>
      </c>
      <c r="C53" s="38" t="s">
        <v>76</v>
      </c>
      <c r="D53" s="38">
        <v>1069489</v>
      </c>
      <c r="E53" s="38">
        <v>1069497</v>
      </c>
      <c r="F53" s="38">
        <v>6.0400000000000002E-2</v>
      </c>
      <c r="G53" s="39" t="s">
        <v>109</v>
      </c>
      <c r="H53" s="39">
        <v>0.35499999999999998</v>
      </c>
      <c r="I53" s="38">
        <v>1.5800000000000002E-2</v>
      </c>
      <c r="J53" s="38">
        <v>2.5999999999999999E-2</v>
      </c>
      <c r="K53" s="38">
        <v>0.24299999999999999</v>
      </c>
      <c r="L53" s="38">
        <v>3.49E-2</v>
      </c>
      <c r="M53" s="38">
        <v>0.1115</v>
      </c>
      <c r="N53" s="38">
        <v>0.10879999999999999</v>
      </c>
    </row>
    <row r="54" spans="1:14" x14ac:dyDescent="0.25">
      <c r="A54" s="40">
        <v>5112</v>
      </c>
      <c r="B54" s="40" t="s">
        <v>76</v>
      </c>
      <c r="C54" s="40" t="s">
        <v>76</v>
      </c>
      <c r="D54" s="40">
        <v>1069497</v>
      </c>
      <c r="E54" s="40">
        <v>1069501</v>
      </c>
      <c r="F54" s="40">
        <v>5.3999999999999999E-2</v>
      </c>
      <c r="G54" s="41" t="s">
        <v>109</v>
      </c>
      <c r="H54" s="41">
        <v>0.35499999999999998</v>
      </c>
      <c r="I54" s="40">
        <v>1.41E-2</v>
      </c>
      <c r="J54" s="40">
        <v>2.3199999999999998E-2</v>
      </c>
      <c r="K54" s="40">
        <v>0.21709999999999999</v>
      </c>
      <c r="L54" s="40">
        <v>3.1199999999999999E-2</v>
      </c>
      <c r="M54" s="40">
        <v>9.9599999999999994E-2</v>
      </c>
      <c r="N54" s="40">
        <v>9.7199999999999995E-2</v>
      </c>
    </row>
    <row r="55" spans="1:14" x14ac:dyDescent="0.25">
      <c r="A55" s="38">
        <v>5113</v>
      </c>
      <c r="B55" s="38" t="s">
        <v>76</v>
      </c>
      <c r="C55" s="38" t="s">
        <v>76</v>
      </c>
      <c r="D55" s="38">
        <v>1069501</v>
      </c>
      <c r="E55" s="38">
        <v>1069519</v>
      </c>
      <c r="F55" s="38">
        <v>4.3400000000000001E-2</v>
      </c>
      <c r="G55" s="39" t="s">
        <v>109</v>
      </c>
      <c r="H55" s="39">
        <v>0.35499999999999998</v>
      </c>
      <c r="I55" s="38">
        <v>1.14E-2</v>
      </c>
      <c r="J55" s="38">
        <v>1.8700000000000001E-2</v>
      </c>
      <c r="K55" s="38">
        <v>0.17460000000000001</v>
      </c>
      <c r="L55" s="38">
        <v>2.5100000000000001E-2</v>
      </c>
      <c r="M55" s="38">
        <v>8.0100000000000005E-2</v>
      </c>
      <c r="N55" s="38">
        <v>7.8100000000000003E-2</v>
      </c>
    </row>
    <row r="56" spans="1:14" x14ac:dyDescent="0.25">
      <c r="A56" s="40">
        <v>5117</v>
      </c>
      <c r="B56" s="40" t="s">
        <v>76</v>
      </c>
      <c r="C56" s="40" t="s">
        <v>76</v>
      </c>
      <c r="D56" s="40">
        <v>1069519</v>
      </c>
      <c r="E56" s="40">
        <v>1069527</v>
      </c>
      <c r="F56" s="40">
        <v>1.5900000000000001E-2</v>
      </c>
      <c r="G56" s="41" t="s">
        <v>109</v>
      </c>
      <c r="H56" s="41">
        <v>0.35499999999999998</v>
      </c>
      <c r="I56" s="40">
        <v>4.1999999999999997E-3</v>
      </c>
      <c r="J56" s="40">
        <v>6.7999999999999996E-3</v>
      </c>
      <c r="K56" s="40">
        <v>6.3899999999999998E-2</v>
      </c>
      <c r="L56" s="40">
        <v>9.1999999999999998E-3</v>
      </c>
      <c r="M56" s="40">
        <v>2.93E-2</v>
      </c>
      <c r="N56" s="40">
        <v>2.86E-2</v>
      </c>
    </row>
    <row r="57" spans="1:14" x14ac:dyDescent="0.25">
      <c r="A57" s="38">
        <v>5118</v>
      </c>
      <c r="B57" s="38" t="s">
        <v>76</v>
      </c>
      <c r="C57" s="38" t="s">
        <v>76</v>
      </c>
      <c r="D57" s="38">
        <v>1069527</v>
      </c>
      <c r="E57" s="38">
        <v>1069683</v>
      </c>
      <c r="F57" s="38">
        <v>7.0999999999999994E-2</v>
      </c>
      <c r="G57" s="39" t="s">
        <v>109</v>
      </c>
      <c r="H57" s="39">
        <v>0.35499999999999998</v>
      </c>
      <c r="I57" s="38">
        <v>1.8599999999999998E-2</v>
      </c>
      <c r="J57" s="38">
        <v>3.0599999999999999E-2</v>
      </c>
      <c r="K57" s="38">
        <v>0.28560000000000002</v>
      </c>
      <c r="L57" s="38">
        <v>4.1000000000000002E-2</v>
      </c>
      <c r="M57" s="38">
        <v>0.13100000000000001</v>
      </c>
      <c r="N57" s="38">
        <v>0.1278</v>
      </c>
    </row>
    <row r="58" spans="1:14" x14ac:dyDescent="0.25">
      <c r="A58" s="40">
        <v>5120</v>
      </c>
      <c r="B58" s="40" t="s">
        <v>76</v>
      </c>
      <c r="C58" s="40" t="s">
        <v>76</v>
      </c>
      <c r="D58" s="40">
        <v>1069683</v>
      </c>
      <c r="E58" s="40" t="s">
        <v>111</v>
      </c>
      <c r="F58" s="40">
        <v>3.1699999999999999E-2</v>
      </c>
      <c r="G58" s="41" t="s">
        <v>109</v>
      </c>
      <c r="H58" s="41">
        <v>0.35499999999999998</v>
      </c>
      <c r="I58" s="40">
        <v>8.3000000000000001E-3</v>
      </c>
      <c r="J58" s="40">
        <v>1.37E-2</v>
      </c>
      <c r="K58" s="40">
        <v>0.12759999999999999</v>
      </c>
      <c r="L58" s="40">
        <v>1.83E-2</v>
      </c>
      <c r="M58" s="40">
        <v>5.8500000000000003E-2</v>
      </c>
      <c r="N58" s="40">
        <v>5.7099999999999998E-2</v>
      </c>
    </row>
    <row r="59" spans="1:14" x14ac:dyDescent="0.25">
      <c r="A59" s="38">
        <v>5127</v>
      </c>
      <c r="B59" s="38" t="s">
        <v>76</v>
      </c>
      <c r="C59" s="38" t="s">
        <v>76</v>
      </c>
      <c r="D59" s="38" t="s">
        <v>111</v>
      </c>
      <c r="E59" s="38" t="s">
        <v>112</v>
      </c>
      <c r="F59" s="38">
        <v>5.6300000000000003E-2</v>
      </c>
      <c r="G59" s="39" t="s">
        <v>109</v>
      </c>
      <c r="H59" s="39">
        <v>0.35499999999999998</v>
      </c>
      <c r="I59" s="38">
        <v>1.47E-2</v>
      </c>
      <c r="J59" s="38">
        <v>2.4199999999999999E-2</v>
      </c>
      <c r="K59" s="38">
        <v>0.22639999999999999</v>
      </c>
      <c r="L59" s="38">
        <v>3.2500000000000001E-2</v>
      </c>
      <c r="M59" s="38">
        <v>0.10390000000000001</v>
      </c>
      <c r="N59" s="38">
        <v>0.1013</v>
      </c>
    </row>
    <row r="60" spans="1:14" x14ac:dyDescent="0.25">
      <c r="A60" s="40">
        <v>5128</v>
      </c>
      <c r="B60" s="40" t="s">
        <v>76</v>
      </c>
      <c r="C60" s="40" t="s">
        <v>76</v>
      </c>
      <c r="D60" s="40" t="s">
        <v>112</v>
      </c>
      <c r="E60" s="40" t="s">
        <v>113</v>
      </c>
      <c r="F60" s="40">
        <v>1.1299999999999999E-2</v>
      </c>
      <c r="G60" s="41" t="s">
        <v>109</v>
      </c>
      <c r="H60" s="41">
        <v>0.35499999999999998</v>
      </c>
      <c r="I60" s="40">
        <v>3.0000000000000001E-3</v>
      </c>
      <c r="J60" s="40">
        <v>4.8999999999999998E-3</v>
      </c>
      <c r="K60" s="40">
        <v>4.5400000000000003E-2</v>
      </c>
      <c r="L60" s="40">
        <v>6.4999999999999997E-3</v>
      </c>
      <c r="M60" s="40">
        <v>2.0799999999999999E-2</v>
      </c>
      <c r="N60" s="40">
        <v>2.0299999999999999E-2</v>
      </c>
    </row>
    <row r="61" spans="1:14" x14ac:dyDescent="0.25">
      <c r="A61" s="38">
        <v>5129</v>
      </c>
      <c r="B61" s="38" t="s">
        <v>76</v>
      </c>
      <c r="C61" s="38" t="s">
        <v>76</v>
      </c>
      <c r="D61" s="38" t="s">
        <v>113</v>
      </c>
      <c r="E61" s="38">
        <v>1067044</v>
      </c>
      <c r="F61" s="38">
        <v>4.9799999999999997E-2</v>
      </c>
      <c r="G61" s="39" t="s">
        <v>109</v>
      </c>
      <c r="H61" s="39">
        <v>0.35499999999999998</v>
      </c>
      <c r="I61" s="38">
        <v>1.2999999999999999E-2</v>
      </c>
      <c r="J61" s="38">
        <v>2.1399999999999999E-2</v>
      </c>
      <c r="K61" s="38">
        <v>0.20019999999999999</v>
      </c>
      <c r="L61" s="38">
        <v>2.87E-2</v>
      </c>
      <c r="M61" s="38">
        <v>9.1899999999999996E-2</v>
      </c>
      <c r="N61" s="38">
        <v>8.9599999999999999E-2</v>
      </c>
    </row>
    <row r="62" spans="1:14" x14ac:dyDescent="0.25">
      <c r="A62" s="40">
        <v>5130</v>
      </c>
      <c r="B62" s="40" t="s">
        <v>76</v>
      </c>
      <c r="C62" s="40" t="s">
        <v>76</v>
      </c>
      <c r="D62" s="40">
        <v>1067044</v>
      </c>
      <c r="E62" s="40" t="s">
        <v>114</v>
      </c>
      <c r="F62" s="40">
        <v>5.3600000000000002E-2</v>
      </c>
      <c r="G62" s="41" t="s">
        <v>109</v>
      </c>
      <c r="H62" s="41">
        <v>0.35499999999999998</v>
      </c>
      <c r="I62" s="40">
        <v>1.4E-2</v>
      </c>
      <c r="J62" s="40">
        <v>2.3099999999999999E-2</v>
      </c>
      <c r="K62" s="40">
        <v>0.2157</v>
      </c>
      <c r="L62" s="40">
        <v>3.1E-2</v>
      </c>
      <c r="M62" s="40">
        <v>9.8900000000000002E-2</v>
      </c>
      <c r="N62" s="40">
        <v>9.6500000000000002E-2</v>
      </c>
    </row>
    <row r="63" spans="1:14" x14ac:dyDescent="0.25">
      <c r="A63" s="38">
        <v>5131</v>
      </c>
      <c r="B63" s="38">
        <v>1067052</v>
      </c>
      <c r="C63" s="38" t="s">
        <v>76</v>
      </c>
      <c r="D63" s="38" t="s">
        <v>114</v>
      </c>
      <c r="E63" s="38" t="s">
        <v>115</v>
      </c>
      <c r="F63" s="38">
        <v>1.1999999999999999E-3</v>
      </c>
      <c r="G63" s="39" t="s">
        <v>51</v>
      </c>
      <c r="H63" s="39">
        <v>0.27500000000000002</v>
      </c>
      <c r="I63" s="38">
        <v>5.0000000000000001E-4</v>
      </c>
      <c r="J63" s="38">
        <v>5.0000000000000001E-4</v>
      </c>
      <c r="K63" s="38">
        <v>4.5999999999999999E-3</v>
      </c>
      <c r="L63" s="38">
        <v>8.9999999999999998E-4</v>
      </c>
      <c r="M63" s="38">
        <v>2.2000000000000001E-3</v>
      </c>
      <c r="N63" s="38">
        <v>2.0999999999999999E-3</v>
      </c>
    </row>
    <row r="64" spans="1:14" x14ac:dyDescent="0.25">
      <c r="A64" s="40">
        <v>5132</v>
      </c>
      <c r="B64" s="40" t="s">
        <v>76</v>
      </c>
      <c r="C64" s="40" t="s">
        <v>76</v>
      </c>
      <c r="D64" s="40" t="s">
        <v>115</v>
      </c>
      <c r="E64" s="40" t="s">
        <v>116</v>
      </c>
      <c r="F64" s="40">
        <v>1.4500000000000001E-2</v>
      </c>
      <c r="G64" s="41" t="s">
        <v>51</v>
      </c>
      <c r="H64" s="41">
        <v>0.27500000000000002</v>
      </c>
      <c r="I64" s="40">
        <v>6.0000000000000001E-3</v>
      </c>
      <c r="J64" s="40">
        <v>6.4999999999999997E-3</v>
      </c>
      <c r="K64" s="40">
        <v>5.5599999999999997E-2</v>
      </c>
      <c r="L64" s="40">
        <v>1.06E-2</v>
      </c>
      <c r="M64" s="40">
        <v>2.69E-2</v>
      </c>
      <c r="N64" s="40">
        <v>2.5499999999999998E-2</v>
      </c>
    </row>
    <row r="65" spans="1:14" x14ac:dyDescent="0.25">
      <c r="A65" s="38">
        <v>5133</v>
      </c>
      <c r="B65" s="38">
        <v>1067079</v>
      </c>
      <c r="C65" s="38" t="s">
        <v>76</v>
      </c>
      <c r="D65" s="38" t="s">
        <v>116</v>
      </c>
      <c r="E65" s="38" t="s">
        <v>117</v>
      </c>
      <c r="F65" s="38">
        <v>1.1999999999999999E-3</v>
      </c>
      <c r="G65" s="39" t="s">
        <v>51</v>
      </c>
      <c r="H65" s="39">
        <v>0.27500000000000002</v>
      </c>
      <c r="I65" s="38">
        <v>5.0000000000000001E-4</v>
      </c>
      <c r="J65" s="38">
        <v>5.0000000000000001E-4</v>
      </c>
      <c r="K65" s="38">
        <v>4.5999999999999999E-3</v>
      </c>
      <c r="L65" s="38">
        <v>8.9999999999999998E-4</v>
      </c>
      <c r="M65" s="38">
        <v>2.2000000000000001E-3</v>
      </c>
      <c r="N65" s="38">
        <v>2.0999999999999999E-3</v>
      </c>
    </row>
    <row r="66" spans="1:14" x14ac:dyDescent="0.25">
      <c r="A66" s="40">
        <v>5134</v>
      </c>
      <c r="B66" s="40">
        <v>1067079</v>
      </c>
      <c r="C66" s="40" t="s">
        <v>76</v>
      </c>
      <c r="D66" s="40" t="s">
        <v>117</v>
      </c>
      <c r="E66" s="40" t="s">
        <v>118</v>
      </c>
      <c r="F66" s="40">
        <v>1.1999999999999999E-3</v>
      </c>
      <c r="G66" s="41" t="s">
        <v>51</v>
      </c>
      <c r="H66" s="41">
        <v>0.27500000000000002</v>
      </c>
      <c r="I66" s="40">
        <v>5.0000000000000001E-4</v>
      </c>
      <c r="J66" s="40">
        <v>5.0000000000000001E-4</v>
      </c>
      <c r="K66" s="40">
        <v>4.5999999999999999E-3</v>
      </c>
      <c r="L66" s="40">
        <v>8.9999999999999998E-4</v>
      </c>
      <c r="M66" s="40">
        <v>2.2000000000000001E-3</v>
      </c>
      <c r="N66" s="40">
        <v>2.0999999999999999E-3</v>
      </c>
    </row>
    <row r="67" spans="1:14" x14ac:dyDescent="0.25">
      <c r="A67" s="38">
        <v>5136</v>
      </c>
      <c r="B67" s="38" t="s">
        <v>76</v>
      </c>
      <c r="C67" s="38" t="s">
        <v>76</v>
      </c>
      <c r="D67" s="38" t="s">
        <v>118</v>
      </c>
      <c r="E67" s="38" t="s">
        <v>119</v>
      </c>
      <c r="F67" s="38">
        <v>0.02</v>
      </c>
      <c r="G67" s="39" t="s">
        <v>51</v>
      </c>
      <c r="H67" s="39">
        <v>0.27500000000000002</v>
      </c>
      <c r="I67" s="38">
        <v>8.3000000000000001E-3</v>
      </c>
      <c r="J67" s="38">
        <v>8.9999999999999993E-3</v>
      </c>
      <c r="K67" s="38">
        <v>7.7100000000000002E-2</v>
      </c>
      <c r="L67" s="38">
        <v>1.46E-2</v>
      </c>
      <c r="M67" s="38">
        <v>3.73E-2</v>
      </c>
      <c r="N67" s="38">
        <v>3.5299999999999998E-2</v>
      </c>
    </row>
    <row r="68" spans="1:14" x14ac:dyDescent="0.25">
      <c r="A68" s="40">
        <v>5140</v>
      </c>
      <c r="B68" s="40" t="s">
        <v>76</v>
      </c>
      <c r="C68" s="40" t="s">
        <v>76</v>
      </c>
      <c r="D68" s="40" t="s">
        <v>114</v>
      </c>
      <c r="E68" s="40" t="s">
        <v>120</v>
      </c>
      <c r="F68" s="40">
        <v>6.5500000000000003E-2</v>
      </c>
      <c r="G68" s="41" t="s">
        <v>109</v>
      </c>
      <c r="H68" s="41">
        <v>0.35499999999999998</v>
      </c>
      <c r="I68" s="40">
        <v>1.7100000000000001E-2</v>
      </c>
      <c r="J68" s="40">
        <v>2.8199999999999999E-2</v>
      </c>
      <c r="K68" s="40">
        <v>0.26329999999999998</v>
      </c>
      <c r="L68" s="40">
        <v>3.78E-2</v>
      </c>
      <c r="M68" s="40">
        <v>0.1208</v>
      </c>
      <c r="N68" s="40">
        <v>0.1179</v>
      </c>
    </row>
    <row r="69" spans="1:14" x14ac:dyDescent="0.25">
      <c r="A69" s="38">
        <v>5141</v>
      </c>
      <c r="B69" s="38">
        <v>1067109</v>
      </c>
      <c r="C69" s="38" t="s">
        <v>76</v>
      </c>
      <c r="D69" s="38" t="s">
        <v>120</v>
      </c>
      <c r="E69" s="38" t="s">
        <v>121</v>
      </c>
      <c r="F69" s="38">
        <v>1.1999999999999999E-3</v>
      </c>
      <c r="G69" s="39" t="s">
        <v>109</v>
      </c>
      <c r="H69" s="39">
        <v>0.35499999999999998</v>
      </c>
      <c r="I69" s="38">
        <v>2.9999999999999997E-4</v>
      </c>
      <c r="J69" s="38">
        <v>5.0000000000000001E-4</v>
      </c>
      <c r="K69" s="38">
        <v>4.7999999999999996E-3</v>
      </c>
      <c r="L69" s="38">
        <v>6.9999999999999999E-4</v>
      </c>
      <c r="M69" s="38">
        <v>2.2000000000000001E-3</v>
      </c>
      <c r="N69" s="38">
        <v>2.2000000000000001E-3</v>
      </c>
    </row>
    <row r="70" spans="1:14" x14ac:dyDescent="0.25">
      <c r="A70" s="40">
        <v>5142</v>
      </c>
      <c r="B70" s="40" t="s">
        <v>76</v>
      </c>
      <c r="C70" s="40" t="s">
        <v>76</v>
      </c>
      <c r="D70" s="40" t="s">
        <v>121</v>
      </c>
      <c r="E70" s="40" t="s">
        <v>122</v>
      </c>
      <c r="F70" s="40">
        <v>6.7599999999999993E-2</v>
      </c>
      <c r="G70" s="41" t="s">
        <v>51</v>
      </c>
      <c r="H70" s="41">
        <v>0.27500000000000002</v>
      </c>
      <c r="I70" s="40">
        <v>2.8000000000000001E-2</v>
      </c>
      <c r="J70" s="40">
        <v>3.0300000000000001E-2</v>
      </c>
      <c r="K70" s="40">
        <v>0.26</v>
      </c>
      <c r="L70" s="40">
        <v>4.9399999999999999E-2</v>
      </c>
      <c r="M70" s="40">
        <v>0.1258</v>
      </c>
      <c r="N70" s="40">
        <v>0.1192</v>
      </c>
    </row>
    <row r="71" spans="1:14" x14ac:dyDescent="0.25">
      <c r="A71" s="38">
        <v>5143</v>
      </c>
      <c r="B71" s="38" t="s">
        <v>76</v>
      </c>
      <c r="C71" s="38" t="s">
        <v>76</v>
      </c>
      <c r="D71" s="38" t="s">
        <v>122</v>
      </c>
      <c r="E71" s="38" t="s">
        <v>123</v>
      </c>
      <c r="F71" s="38">
        <v>5.8299999999999998E-2</v>
      </c>
      <c r="G71" s="39" t="s">
        <v>51</v>
      </c>
      <c r="H71" s="39">
        <v>0.27500000000000002</v>
      </c>
      <c r="I71" s="38">
        <v>2.4199999999999999E-2</v>
      </c>
      <c r="J71" s="38">
        <v>2.6100000000000002E-2</v>
      </c>
      <c r="K71" s="38">
        <v>0.2243</v>
      </c>
      <c r="L71" s="38">
        <v>4.2599999999999999E-2</v>
      </c>
      <c r="M71" s="38">
        <v>0.1085</v>
      </c>
      <c r="N71" s="38">
        <v>0.1028</v>
      </c>
    </row>
    <row r="72" spans="1:14" x14ac:dyDescent="0.25">
      <c r="A72" s="40">
        <v>5144</v>
      </c>
      <c r="B72" s="40">
        <v>1067125</v>
      </c>
      <c r="C72" s="40" t="s">
        <v>76</v>
      </c>
      <c r="D72" s="40" t="s">
        <v>123</v>
      </c>
      <c r="E72" s="40" t="s">
        <v>124</v>
      </c>
      <c r="F72" s="40">
        <v>1.1999999999999999E-3</v>
      </c>
      <c r="G72" s="41" t="s">
        <v>109</v>
      </c>
      <c r="H72" s="41">
        <v>0.35499999999999998</v>
      </c>
      <c r="I72" s="40">
        <v>2.9999999999999997E-4</v>
      </c>
      <c r="J72" s="40">
        <v>5.0000000000000001E-4</v>
      </c>
      <c r="K72" s="40">
        <v>4.7999999999999996E-3</v>
      </c>
      <c r="L72" s="40">
        <v>6.9999999999999999E-4</v>
      </c>
      <c r="M72" s="40">
        <v>2.2000000000000001E-3</v>
      </c>
      <c r="N72" s="40">
        <v>2.2000000000000001E-3</v>
      </c>
    </row>
    <row r="73" spans="1:14" x14ac:dyDescent="0.25">
      <c r="A73" s="38">
        <v>5145</v>
      </c>
      <c r="B73" s="38" t="s">
        <v>76</v>
      </c>
      <c r="C73" s="38" t="s">
        <v>76</v>
      </c>
      <c r="D73" s="38" t="s">
        <v>124</v>
      </c>
      <c r="E73" s="38" t="s">
        <v>125</v>
      </c>
      <c r="F73" s="38">
        <v>1.7999999999999999E-2</v>
      </c>
      <c r="G73" s="39" t="s">
        <v>57</v>
      </c>
      <c r="H73" s="39">
        <v>0.29499999999999998</v>
      </c>
      <c r="I73" s="38">
        <v>7.4000000000000003E-3</v>
      </c>
      <c r="J73" s="38">
        <v>6.7000000000000002E-3</v>
      </c>
      <c r="K73" s="38">
        <v>9.8000000000000004E-2</v>
      </c>
      <c r="L73" s="38">
        <v>1.06E-2</v>
      </c>
      <c r="M73" s="38">
        <v>8.5099999999999995E-2</v>
      </c>
      <c r="N73" s="38">
        <v>2.4E-2</v>
      </c>
    </row>
    <row r="74" spans="1:14" x14ac:dyDescent="0.25">
      <c r="A74" s="40">
        <v>5146</v>
      </c>
      <c r="B74" s="40">
        <v>1067133</v>
      </c>
      <c r="C74" s="40" t="s">
        <v>76</v>
      </c>
      <c r="D74" s="40" t="s">
        <v>125</v>
      </c>
      <c r="E74" s="40" t="s">
        <v>126</v>
      </c>
      <c r="F74" s="40">
        <v>1.1999999999999999E-3</v>
      </c>
      <c r="G74" s="41" t="s">
        <v>57</v>
      </c>
      <c r="H74" s="41">
        <v>0.29499999999999998</v>
      </c>
      <c r="I74" s="40">
        <v>5.0000000000000001E-4</v>
      </c>
      <c r="J74" s="40">
        <v>4.0000000000000002E-4</v>
      </c>
      <c r="K74" s="40">
        <v>6.4999999999999997E-3</v>
      </c>
      <c r="L74" s="40">
        <v>6.9999999999999999E-4</v>
      </c>
      <c r="M74" s="40">
        <v>5.7000000000000002E-3</v>
      </c>
      <c r="N74" s="40">
        <v>1.6000000000000001E-3</v>
      </c>
    </row>
    <row r="75" spans="1:14" x14ac:dyDescent="0.25">
      <c r="A75" s="38">
        <v>5147</v>
      </c>
      <c r="B75" s="38" t="s">
        <v>76</v>
      </c>
      <c r="C75" s="38" t="s">
        <v>76</v>
      </c>
      <c r="D75" s="38" t="s">
        <v>123</v>
      </c>
      <c r="E75" s="38" t="s">
        <v>127</v>
      </c>
      <c r="F75" s="38">
        <v>5.0200000000000002E-2</v>
      </c>
      <c r="G75" s="39" t="s">
        <v>51</v>
      </c>
      <c r="H75" s="39">
        <v>0.27500000000000002</v>
      </c>
      <c r="I75" s="38">
        <v>2.0799999999999999E-2</v>
      </c>
      <c r="J75" s="38">
        <v>2.2499999999999999E-2</v>
      </c>
      <c r="K75" s="38">
        <v>0.19309999999999999</v>
      </c>
      <c r="L75" s="38">
        <v>3.6700000000000003E-2</v>
      </c>
      <c r="M75" s="38">
        <v>9.3399999999999997E-2</v>
      </c>
      <c r="N75" s="38">
        <v>8.8499999999999995E-2</v>
      </c>
    </row>
    <row r="76" spans="1:14" x14ac:dyDescent="0.25">
      <c r="A76" s="40">
        <v>5148</v>
      </c>
      <c r="B76" s="40" t="s">
        <v>76</v>
      </c>
      <c r="C76" s="40" t="s">
        <v>76</v>
      </c>
      <c r="D76" s="40" t="s">
        <v>127</v>
      </c>
      <c r="E76" s="40">
        <v>1067150</v>
      </c>
      <c r="F76" s="40">
        <v>6.3100000000000003E-2</v>
      </c>
      <c r="G76" s="41" t="s">
        <v>50</v>
      </c>
      <c r="H76" s="41">
        <v>0.24099999999999999</v>
      </c>
      <c r="I76" s="40">
        <v>3.3000000000000002E-2</v>
      </c>
      <c r="J76" s="40">
        <v>2.8799999999999999E-2</v>
      </c>
      <c r="K76" s="40">
        <v>0.23769999999999999</v>
      </c>
      <c r="L76" s="40">
        <v>5.2900000000000003E-2</v>
      </c>
      <c r="M76" s="40">
        <v>0.11799999999999999</v>
      </c>
      <c r="N76" s="40">
        <v>0.11020000000000001</v>
      </c>
    </row>
    <row r="77" spans="1:14" x14ac:dyDescent="0.25">
      <c r="A77" s="38">
        <v>5153</v>
      </c>
      <c r="B77" s="38" t="s">
        <v>76</v>
      </c>
      <c r="C77" s="38" t="s">
        <v>76</v>
      </c>
      <c r="D77" s="38">
        <v>1067150</v>
      </c>
      <c r="E77" s="38" t="s">
        <v>128</v>
      </c>
      <c r="F77" s="38">
        <v>7.3800000000000004E-2</v>
      </c>
      <c r="G77" s="39" t="s">
        <v>51</v>
      </c>
      <c r="H77" s="39">
        <v>0.27500000000000002</v>
      </c>
      <c r="I77" s="38">
        <v>3.0599999999999999E-2</v>
      </c>
      <c r="J77" s="38">
        <v>3.3000000000000002E-2</v>
      </c>
      <c r="K77" s="38">
        <v>0.28399999999999997</v>
      </c>
      <c r="L77" s="38">
        <v>5.3900000000000003E-2</v>
      </c>
      <c r="M77" s="38">
        <v>0.13739999999999999</v>
      </c>
      <c r="N77" s="38">
        <v>0.13020000000000001</v>
      </c>
    </row>
    <row r="78" spans="1:14" x14ac:dyDescent="0.25">
      <c r="A78" s="40">
        <v>5154</v>
      </c>
      <c r="B78" s="40" t="s">
        <v>76</v>
      </c>
      <c r="C78" s="40" t="s">
        <v>76</v>
      </c>
      <c r="D78" s="40" t="s">
        <v>128</v>
      </c>
      <c r="E78" s="40" t="s">
        <v>129</v>
      </c>
      <c r="F78" s="40">
        <v>4.1500000000000002E-2</v>
      </c>
      <c r="G78" s="41" t="s">
        <v>51</v>
      </c>
      <c r="H78" s="41">
        <v>0.27500000000000002</v>
      </c>
      <c r="I78" s="40">
        <v>1.72E-2</v>
      </c>
      <c r="J78" s="40">
        <v>1.8599999999999998E-2</v>
      </c>
      <c r="K78" s="40">
        <v>0.1598</v>
      </c>
      <c r="L78" s="40">
        <v>3.0300000000000001E-2</v>
      </c>
      <c r="M78" s="40">
        <v>7.7299999999999994E-2</v>
      </c>
      <c r="N78" s="40">
        <v>7.3300000000000004E-2</v>
      </c>
    </row>
    <row r="79" spans="1:14" x14ac:dyDescent="0.25">
      <c r="A79" s="38">
        <v>5155</v>
      </c>
      <c r="B79" s="38">
        <v>1067184</v>
      </c>
      <c r="C79" s="38" t="s">
        <v>76</v>
      </c>
      <c r="D79" s="38" t="s">
        <v>129</v>
      </c>
      <c r="E79" s="38" t="s">
        <v>130</v>
      </c>
      <c r="F79" s="38">
        <v>1.1999999999999999E-3</v>
      </c>
      <c r="G79" s="39" t="s">
        <v>51</v>
      </c>
      <c r="H79" s="39">
        <v>0.27500000000000002</v>
      </c>
      <c r="I79" s="38">
        <v>5.0000000000000001E-4</v>
      </c>
      <c r="J79" s="38">
        <v>5.0000000000000001E-4</v>
      </c>
      <c r="K79" s="38">
        <v>4.5999999999999999E-3</v>
      </c>
      <c r="L79" s="38">
        <v>8.9999999999999998E-4</v>
      </c>
      <c r="M79" s="38">
        <v>2.2000000000000001E-3</v>
      </c>
      <c r="N79" s="38">
        <v>2.0999999999999999E-3</v>
      </c>
    </row>
    <row r="80" spans="1:14" x14ac:dyDescent="0.25">
      <c r="A80" s="40">
        <v>5156</v>
      </c>
      <c r="B80" s="40" t="s">
        <v>76</v>
      </c>
      <c r="C80" s="40" t="s">
        <v>76</v>
      </c>
      <c r="D80" s="40" t="s">
        <v>130</v>
      </c>
      <c r="E80" s="40" t="s">
        <v>131</v>
      </c>
      <c r="F80" s="40">
        <v>5.8900000000000001E-2</v>
      </c>
      <c r="G80" s="41" t="s">
        <v>51</v>
      </c>
      <c r="H80" s="41">
        <v>0.27500000000000002</v>
      </c>
      <c r="I80" s="40">
        <v>2.4400000000000002E-2</v>
      </c>
      <c r="J80" s="40">
        <v>2.64E-2</v>
      </c>
      <c r="K80" s="40">
        <v>0.22650000000000001</v>
      </c>
      <c r="L80" s="40">
        <v>4.2999999999999997E-2</v>
      </c>
      <c r="M80" s="40">
        <v>0.1096</v>
      </c>
      <c r="N80" s="40">
        <v>0.1038</v>
      </c>
    </row>
    <row r="81" spans="1:14" x14ac:dyDescent="0.25">
      <c r="A81" s="38">
        <v>5157</v>
      </c>
      <c r="B81" s="38" t="s">
        <v>76</v>
      </c>
      <c r="C81" s="38" t="s">
        <v>76</v>
      </c>
      <c r="D81" s="38" t="s">
        <v>131</v>
      </c>
      <c r="E81" s="38" t="s">
        <v>132</v>
      </c>
      <c r="F81" s="38">
        <v>6.4899999999999999E-2</v>
      </c>
      <c r="G81" s="39" t="s">
        <v>51</v>
      </c>
      <c r="H81" s="39">
        <v>0.27500000000000002</v>
      </c>
      <c r="I81" s="38">
        <v>2.69E-2</v>
      </c>
      <c r="J81" s="38">
        <v>2.9100000000000001E-2</v>
      </c>
      <c r="K81" s="38">
        <v>0.24959999999999999</v>
      </c>
      <c r="L81" s="38">
        <v>4.7399999999999998E-2</v>
      </c>
      <c r="M81" s="38">
        <v>0.1208</v>
      </c>
      <c r="N81" s="38">
        <v>0.1144</v>
      </c>
    </row>
    <row r="82" spans="1:14" x14ac:dyDescent="0.25">
      <c r="A82" s="40">
        <v>5158</v>
      </c>
      <c r="B82" s="40" t="s">
        <v>76</v>
      </c>
      <c r="C82" s="40" t="s">
        <v>76</v>
      </c>
      <c r="D82" s="40" t="s">
        <v>132</v>
      </c>
      <c r="E82" s="40" t="s">
        <v>133</v>
      </c>
      <c r="F82" s="40">
        <v>6.7699999999999996E-2</v>
      </c>
      <c r="G82" s="41" t="s">
        <v>51</v>
      </c>
      <c r="H82" s="41">
        <v>0.27500000000000002</v>
      </c>
      <c r="I82" s="40">
        <v>2.81E-2</v>
      </c>
      <c r="J82" s="40">
        <v>3.0300000000000001E-2</v>
      </c>
      <c r="K82" s="40">
        <v>0.26040000000000002</v>
      </c>
      <c r="L82" s="40">
        <v>4.9399999999999999E-2</v>
      </c>
      <c r="M82" s="40">
        <v>0.126</v>
      </c>
      <c r="N82" s="40">
        <v>0.11940000000000001</v>
      </c>
    </row>
    <row r="83" spans="1:14" x14ac:dyDescent="0.25">
      <c r="A83" s="38">
        <v>5280</v>
      </c>
      <c r="B83" s="38" t="s">
        <v>76</v>
      </c>
      <c r="C83" s="38" t="s">
        <v>76</v>
      </c>
      <c r="D83" s="38" t="s">
        <v>133</v>
      </c>
      <c r="E83" s="38" t="s">
        <v>134</v>
      </c>
      <c r="F83" s="38">
        <v>2.7E-2</v>
      </c>
      <c r="G83" s="39" t="s">
        <v>51</v>
      </c>
      <c r="H83" s="39">
        <v>0.27500000000000002</v>
      </c>
      <c r="I83" s="38">
        <v>1.12E-2</v>
      </c>
      <c r="J83" s="38">
        <v>1.21E-2</v>
      </c>
      <c r="K83" s="38">
        <v>0.104</v>
      </c>
      <c r="L83" s="38">
        <v>1.9699999999999999E-2</v>
      </c>
      <c r="M83" s="38">
        <v>5.0299999999999997E-2</v>
      </c>
      <c r="N83" s="38">
        <v>4.7699999999999999E-2</v>
      </c>
    </row>
    <row r="84" spans="1:14" x14ac:dyDescent="0.25">
      <c r="A84" s="40">
        <v>5281</v>
      </c>
      <c r="B84" s="40" t="s">
        <v>76</v>
      </c>
      <c r="C84" s="40" t="s">
        <v>76</v>
      </c>
      <c r="D84" s="40" t="s">
        <v>135</v>
      </c>
      <c r="E84" s="40" t="s">
        <v>136</v>
      </c>
      <c r="F84" s="40">
        <v>3.1300000000000001E-2</v>
      </c>
      <c r="G84" s="41" t="s">
        <v>50</v>
      </c>
      <c r="H84" s="41">
        <v>0.24099999999999999</v>
      </c>
      <c r="I84" s="40">
        <v>1.6400000000000001E-2</v>
      </c>
      <c r="J84" s="40">
        <v>1.43E-2</v>
      </c>
      <c r="K84" s="40">
        <v>0.1179</v>
      </c>
      <c r="L84" s="40">
        <v>2.6200000000000001E-2</v>
      </c>
      <c r="M84" s="40">
        <v>5.8599999999999999E-2</v>
      </c>
      <c r="N84" s="40">
        <v>5.4699999999999999E-2</v>
      </c>
    </row>
    <row r="85" spans="1:14" x14ac:dyDescent="0.25">
      <c r="A85" s="38">
        <v>5282</v>
      </c>
      <c r="B85" s="38" t="s">
        <v>76</v>
      </c>
      <c r="C85" s="38" t="s">
        <v>76</v>
      </c>
      <c r="D85" s="38" t="s">
        <v>136</v>
      </c>
      <c r="E85" s="38">
        <v>3769721</v>
      </c>
      <c r="F85" s="38">
        <v>5.2900000000000003E-2</v>
      </c>
      <c r="G85" s="39" t="s">
        <v>50</v>
      </c>
      <c r="H85" s="39">
        <v>0.24099999999999999</v>
      </c>
      <c r="I85" s="38">
        <v>2.76E-2</v>
      </c>
      <c r="J85" s="38">
        <v>2.41E-2</v>
      </c>
      <c r="K85" s="38">
        <v>0.1993</v>
      </c>
      <c r="L85" s="38">
        <v>4.4299999999999999E-2</v>
      </c>
      <c r="M85" s="38">
        <v>9.8900000000000002E-2</v>
      </c>
      <c r="N85" s="38">
        <v>9.2399999999999996E-2</v>
      </c>
    </row>
    <row r="86" spans="1:14" x14ac:dyDescent="0.25">
      <c r="A86" s="40">
        <v>5283</v>
      </c>
      <c r="B86" s="40" t="s">
        <v>76</v>
      </c>
      <c r="C86" s="40" t="s">
        <v>76</v>
      </c>
      <c r="D86" s="40">
        <v>3769721</v>
      </c>
      <c r="E86" s="40" t="s">
        <v>137</v>
      </c>
      <c r="F86" s="40">
        <v>6.8500000000000005E-2</v>
      </c>
      <c r="G86" s="41" t="s">
        <v>50</v>
      </c>
      <c r="H86" s="41">
        <v>0.24099999999999999</v>
      </c>
      <c r="I86" s="40">
        <v>3.5799999999999998E-2</v>
      </c>
      <c r="J86" s="40">
        <v>3.1300000000000001E-2</v>
      </c>
      <c r="K86" s="40">
        <v>0.25790000000000002</v>
      </c>
      <c r="L86" s="40">
        <v>5.74E-2</v>
      </c>
      <c r="M86" s="40">
        <v>0.128</v>
      </c>
      <c r="N86" s="40">
        <v>0.1196</v>
      </c>
    </row>
    <row r="87" spans="1:14" x14ac:dyDescent="0.25">
      <c r="A87" s="38">
        <v>5284</v>
      </c>
      <c r="B87" s="38">
        <v>1101293</v>
      </c>
      <c r="C87" s="38" t="s">
        <v>76</v>
      </c>
      <c r="D87" s="38" t="s">
        <v>137</v>
      </c>
      <c r="E87" s="38" t="s">
        <v>138</v>
      </c>
      <c r="F87" s="38">
        <v>1.1999999999999999E-3</v>
      </c>
      <c r="G87" s="39" t="s">
        <v>50</v>
      </c>
      <c r="H87" s="39">
        <v>0.24099999999999999</v>
      </c>
      <c r="I87" s="38">
        <v>5.9999999999999995E-4</v>
      </c>
      <c r="J87" s="38">
        <v>5.0000000000000001E-4</v>
      </c>
      <c r="K87" s="38">
        <v>4.4999999999999997E-3</v>
      </c>
      <c r="L87" s="38">
        <v>1E-3</v>
      </c>
      <c r="M87" s="38">
        <v>2.2000000000000001E-3</v>
      </c>
      <c r="N87" s="38">
        <v>2.0999999999999999E-3</v>
      </c>
    </row>
    <row r="88" spans="1:14" x14ac:dyDescent="0.25">
      <c r="A88" s="40">
        <v>5285</v>
      </c>
      <c r="B88" s="40" t="s">
        <v>76</v>
      </c>
      <c r="C88" s="40" t="s">
        <v>76</v>
      </c>
      <c r="D88" s="40" t="s">
        <v>138</v>
      </c>
      <c r="E88" s="40" t="s">
        <v>139</v>
      </c>
      <c r="F88" s="40">
        <v>5.8000000000000003E-2</v>
      </c>
      <c r="G88" s="41" t="s">
        <v>50</v>
      </c>
      <c r="H88" s="41">
        <v>0.24099999999999999</v>
      </c>
      <c r="I88" s="40">
        <v>3.0300000000000001E-2</v>
      </c>
      <c r="J88" s="40">
        <v>2.6499999999999999E-2</v>
      </c>
      <c r="K88" s="40">
        <v>0.2185</v>
      </c>
      <c r="L88" s="40">
        <v>4.8599999999999997E-2</v>
      </c>
      <c r="M88" s="40">
        <v>0.1085</v>
      </c>
      <c r="N88" s="40">
        <v>0.1013</v>
      </c>
    </row>
    <row r="89" spans="1:14" x14ac:dyDescent="0.25">
      <c r="A89" s="38">
        <v>5286</v>
      </c>
      <c r="B89" s="38">
        <v>1101307</v>
      </c>
      <c r="C89" s="38" t="s">
        <v>76</v>
      </c>
      <c r="D89" s="38" t="s">
        <v>139</v>
      </c>
      <c r="E89" s="38" t="s">
        <v>140</v>
      </c>
      <c r="F89" s="38">
        <v>1.1999999999999999E-3</v>
      </c>
      <c r="G89" s="39" t="s">
        <v>50</v>
      </c>
      <c r="H89" s="39">
        <v>0.24099999999999999</v>
      </c>
      <c r="I89" s="38">
        <v>5.9999999999999995E-4</v>
      </c>
      <c r="J89" s="38">
        <v>5.0000000000000001E-4</v>
      </c>
      <c r="K89" s="38">
        <v>4.4999999999999997E-3</v>
      </c>
      <c r="L89" s="38">
        <v>1E-3</v>
      </c>
      <c r="M89" s="38">
        <v>2.2000000000000001E-3</v>
      </c>
      <c r="N89" s="38">
        <v>2.0999999999999999E-3</v>
      </c>
    </row>
    <row r="90" spans="1:14" x14ac:dyDescent="0.25">
      <c r="A90" s="40">
        <v>5287</v>
      </c>
      <c r="B90" s="40" t="s">
        <v>76</v>
      </c>
      <c r="C90" s="40" t="s">
        <v>76</v>
      </c>
      <c r="D90" s="40" t="s">
        <v>140</v>
      </c>
      <c r="E90" s="40" t="s">
        <v>141</v>
      </c>
      <c r="F90" s="40">
        <v>6.6600000000000006E-2</v>
      </c>
      <c r="G90" s="41" t="s">
        <v>50</v>
      </c>
      <c r="H90" s="41">
        <v>0.24099999999999999</v>
      </c>
      <c r="I90" s="40">
        <v>3.4799999999999998E-2</v>
      </c>
      <c r="J90" s="40">
        <v>3.04E-2</v>
      </c>
      <c r="K90" s="40">
        <v>0.25080000000000002</v>
      </c>
      <c r="L90" s="40">
        <v>5.5800000000000002E-2</v>
      </c>
      <c r="M90" s="40">
        <v>0.1245</v>
      </c>
      <c r="N90" s="40">
        <v>0.1163</v>
      </c>
    </row>
    <row r="91" spans="1:14" x14ac:dyDescent="0.25">
      <c r="A91" s="38">
        <v>5288</v>
      </c>
      <c r="B91" s="38" t="s">
        <v>76</v>
      </c>
      <c r="C91" s="38" t="s">
        <v>76</v>
      </c>
      <c r="D91" s="38" t="s">
        <v>141</v>
      </c>
      <c r="E91" s="38">
        <v>1101323</v>
      </c>
      <c r="F91" s="38">
        <v>5.8299999999999998E-2</v>
      </c>
      <c r="G91" s="39" t="s">
        <v>50</v>
      </c>
      <c r="H91" s="39">
        <v>0.24099999999999999</v>
      </c>
      <c r="I91" s="38">
        <v>3.0499999999999999E-2</v>
      </c>
      <c r="J91" s="38">
        <v>2.6599999999999999E-2</v>
      </c>
      <c r="K91" s="38">
        <v>0.21959999999999999</v>
      </c>
      <c r="L91" s="38">
        <v>4.8899999999999999E-2</v>
      </c>
      <c r="M91" s="38">
        <v>0.109</v>
      </c>
      <c r="N91" s="38">
        <v>0.1018</v>
      </c>
    </row>
    <row r="92" spans="1:14" x14ac:dyDescent="0.25">
      <c r="A92" s="40">
        <v>5289</v>
      </c>
      <c r="B92" s="40" t="s">
        <v>76</v>
      </c>
      <c r="C92" s="40" t="s">
        <v>76</v>
      </c>
      <c r="D92" s="40">
        <v>1101323</v>
      </c>
      <c r="E92" s="40">
        <v>1101331</v>
      </c>
      <c r="F92" s="40">
        <v>5.3199999999999997E-2</v>
      </c>
      <c r="G92" s="41" t="s">
        <v>50</v>
      </c>
      <c r="H92" s="41">
        <v>0.24099999999999999</v>
      </c>
      <c r="I92" s="40">
        <v>2.7799999999999998E-2</v>
      </c>
      <c r="J92" s="40">
        <v>2.4299999999999999E-2</v>
      </c>
      <c r="K92" s="40">
        <v>0.20030000000000001</v>
      </c>
      <c r="L92" s="40">
        <v>4.4600000000000001E-2</v>
      </c>
      <c r="M92" s="40">
        <v>9.9500000000000005E-2</v>
      </c>
      <c r="N92" s="40">
        <v>9.2899999999999996E-2</v>
      </c>
    </row>
    <row r="93" spans="1:14" x14ac:dyDescent="0.25">
      <c r="A93" s="38">
        <v>5290</v>
      </c>
      <c r="B93" s="38" t="s">
        <v>76</v>
      </c>
      <c r="C93" s="38" t="s">
        <v>76</v>
      </c>
      <c r="D93" s="38">
        <v>1101331</v>
      </c>
      <c r="E93" s="38" t="s">
        <v>142</v>
      </c>
      <c r="F93" s="38">
        <v>6.8900000000000003E-2</v>
      </c>
      <c r="G93" s="39" t="s">
        <v>50</v>
      </c>
      <c r="H93" s="39">
        <v>0.24099999999999999</v>
      </c>
      <c r="I93" s="38">
        <v>3.5999999999999997E-2</v>
      </c>
      <c r="J93" s="38">
        <v>3.1399999999999997E-2</v>
      </c>
      <c r="K93" s="38">
        <v>0.25950000000000001</v>
      </c>
      <c r="L93" s="38">
        <v>5.7700000000000001E-2</v>
      </c>
      <c r="M93" s="38">
        <v>0.1288</v>
      </c>
      <c r="N93" s="38">
        <v>0.1203</v>
      </c>
    </row>
    <row r="94" spans="1:14" x14ac:dyDescent="0.25">
      <c r="A94" s="40">
        <v>5291</v>
      </c>
      <c r="B94" s="40" t="s">
        <v>76</v>
      </c>
      <c r="C94" s="40" t="s">
        <v>76</v>
      </c>
      <c r="D94" s="40" t="s">
        <v>142</v>
      </c>
      <c r="E94" s="40">
        <v>1045288</v>
      </c>
      <c r="F94" s="40">
        <v>1.2200000000000001E-2</v>
      </c>
      <c r="G94" s="41" t="s">
        <v>50</v>
      </c>
      <c r="H94" s="41">
        <v>0.24099999999999999</v>
      </c>
      <c r="I94" s="40">
        <v>6.4000000000000003E-3</v>
      </c>
      <c r="J94" s="40">
        <v>5.5999999999999999E-3</v>
      </c>
      <c r="K94" s="40">
        <v>4.5900000000000003E-2</v>
      </c>
      <c r="L94" s="40">
        <v>1.0200000000000001E-2</v>
      </c>
      <c r="M94" s="40">
        <v>2.2800000000000001E-2</v>
      </c>
      <c r="N94" s="40">
        <v>2.1299999999999999E-2</v>
      </c>
    </row>
    <row r="95" spans="1:14" x14ac:dyDescent="0.25">
      <c r="A95" s="38">
        <v>5292</v>
      </c>
      <c r="B95" s="38" t="s">
        <v>76</v>
      </c>
      <c r="C95" s="38" t="s">
        <v>76</v>
      </c>
      <c r="D95" s="38">
        <v>1045288</v>
      </c>
      <c r="E95" s="38">
        <v>1101358</v>
      </c>
      <c r="F95" s="38">
        <v>3.6799999999999999E-2</v>
      </c>
      <c r="G95" s="39" t="s">
        <v>50</v>
      </c>
      <c r="H95" s="39">
        <v>0.24099999999999999</v>
      </c>
      <c r="I95" s="38">
        <v>1.9300000000000001E-2</v>
      </c>
      <c r="J95" s="38">
        <v>1.6799999999999999E-2</v>
      </c>
      <c r="K95" s="38">
        <v>0.13880000000000001</v>
      </c>
      <c r="L95" s="38">
        <v>3.09E-2</v>
      </c>
      <c r="M95" s="38">
        <v>6.8900000000000003E-2</v>
      </c>
      <c r="N95" s="38">
        <v>6.4399999999999999E-2</v>
      </c>
    </row>
    <row r="96" spans="1:14" x14ac:dyDescent="0.25">
      <c r="A96" s="40">
        <v>5294</v>
      </c>
      <c r="B96" s="40" t="s">
        <v>76</v>
      </c>
      <c r="C96" s="40" t="s">
        <v>76</v>
      </c>
      <c r="D96" s="40">
        <v>1101358</v>
      </c>
      <c r="E96" s="40" t="s">
        <v>143</v>
      </c>
      <c r="F96" s="40">
        <v>7.3599999999999999E-2</v>
      </c>
      <c r="G96" s="41" t="s">
        <v>50</v>
      </c>
      <c r="H96" s="41">
        <v>0.24099999999999999</v>
      </c>
      <c r="I96" s="40">
        <v>3.85E-2</v>
      </c>
      <c r="J96" s="40">
        <v>3.3599999999999998E-2</v>
      </c>
      <c r="K96" s="40">
        <v>0.27739999999999998</v>
      </c>
      <c r="L96" s="40">
        <v>6.1699999999999998E-2</v>
      </c>
      <c r="M96" s="40">
        <v>0.13769999999999999</v>
      </c>
      <c r="N96" s="40">
        <v>0.12859999999999999</v>
      </c>
    </row>
    <row r="97" spans="1:14" x14ac:dyDescent="0.25">
      <c r="A97" s="38">
        <v>5295</v>
      </c>
      <c r="B97" s="38" t="s">
        <v>76</v>
      </c>
      <c r="C97" s="38" t="s">
        <v>76</v>
      </c>
      <c r="D97" s="38" t="s">
        <v>143</v>
      </c>
      <c r="E97" s="38" t="s">
        <v>144</v>
      </c>
      <c r="F97" s="38">
        <v>5.57E-2</v>
      </c>
      <c r="G97" s="39" t="s">
        <v>50</v>
      </c>
      <c r="H97" s="39">
        <v>0.24099999999999999</v>
      </c>
      <c r="I97" s="38">
        <v>2.9100000000000001E-2</v>
      </c>
      <c r="J97" s="38">
        <v>2.5399999999999999E-2</v>
      </c>
      <c r="K97" s="38">
        <v>0.2097</v>
      </c>
      <c r="L97" s="38">
        <v>4.6699999999999998E-2</v>
      </c>
      <c r="M97" s="38">
        <v>0.1041</v>
      </c>
      <c r="N97" s="38">
        <v>9.7299999999999998E-2</v>
      </c>
    </row>
    <row r="98" spans="1:14" x14ac:dyDescent="0.25">
      <c r="A98" s="40">
        <v>5296</v>
      </c>
      <c r="B98" s="40" t="s">
        <v>76</v>
      </c>
      <c r="C98" s="40" t="s">
        <v>76</v>
      </c>
      <c r="D98" s="40" t="s">
        <v>144</v>
      </c>
      <c r="E98" s="40" t="s">
        <v>145</v>
      </c>
      <c r="F98" s="40">
        <v>5.1299999999999998E-2</v>
      </c>
      <c r="G98" s="41" t="s">
        <v>50</v>
      </c>
      <c r="H98" s="41">
        <v>0.24099999999999999</v>
      </c>
      <c r="I98" s="40">
        <v>2.6800000000000001E-2</v>
      </c>
      <c r="J98" s="40">
        <v>2.3400000000000001E-2</v>
      </c>
      <c r="K98" s="40">
        <v>0.19309999999999999</v>
      </c>
      <c r="L98" s="40">
        <v>4.2999999999999997E-2</v>
      </c>
      <c r="M98" s="40">
        <v>9.5899999999999999E-2</v>
      </c>
      <c r="N98" s="40">
        <v>8.9499999999999996E-2</v>
      </c>
    </row>
    <row r="99" spans="1:14" x14ac:dyDescent="0.25">
      <c r="A99" s="38">
        <v>5297</v>
      </c>
      <c r="B99" s="38" t="s">
        <v>76</v>
      </c>
      <c r="C99" s="38" t="s">
        <v>76</v>
      </c>
      <c r="D99" s="38" t="s">
        <v>146</v>
      </c>
      <c r="E99" s="38">
        <v>1101412</v>
      </c>
      <c r="F99" s="38">
        <v>5.3900000000000003E-2</v>
      </c>
      <c r="G99" s="39" t="s">
        <v>50</v>
      </c>
      <c r="H99" s="39">
        <v>0.24099999999999999</v>
      </c>
      <c r="I99" s="38">
        <v>2.8199999999999999E-2</v>
      </c>
      <c r="J99" s="38">
        <v>2.46E-2</v>
      </c>
      <c r="K99" s="38">
        <v>0.2031</v>
      </c>
      <c r="L99" s="38">
        <v>4.5199999999999997E-2</v>
      </c>
      <c r="M99" s="38">
        <v>0.1009</v>
      </c>
      <c r="N99" s="38">
        <v>9.4200000000000006E-2</v>
      </c>
    </row>
    <row r="100" spans="1:14" x14ac:dyDescent="0.25">
      <c r="A100" s="40">
        <v>5298</v>
      </c>
      <c r="B100" s="40" t="s">
        <v>76</v>
      </c>
      <c r="C100" s="40" t="s">
        <v>76</v>
      </c>
      <c r="D100" s="40">
        <v>1101412</v>
      </c>
      <c r="E100" s="40" t="s">
        <v>147</v>
      </c>
      <c r="F100" s="40">
        <v>5.0599999999999999E-2</v>
      </c>
      <c r="G100" s="41" t="s">
        <v>50</v>
      </c>
      <c r="H100" s="41">
        <v>0.24099999999999999</v>
      </c>
      <c r="I100" s="40">
        <v>2.64E-2</v>
      </c>
      <c r="J100" s="40">
        <v>2.3099999999999999E-2</v>
      </c>
      <c r="K100" s="40">
        <v>0.1905</v>
      </c>
      <c r="L100" s="40">
        <v>4.24E-2</v>
      </c>
      <c r="M100" s="40">
        <v>9.4600000000000004E-2</v>
      </c>
      <c r="N100" s="40">
        <v>8.8300000000000003E-2</v>
      </c>
    </row>
    <row r="101" spans="1:14" x14ac:dyDescent="0.25">
      <c r="A101" s="38">
        <v>5299</v>
      </c>
      <c r="B101" s="38">
        <v>1101421</v>
      </c>
      <c r="C101" s="38" t="s">
        <v>76</v>
      </c>
      <c r="D101" s="38" t="s">
        <v>147</v>
      </c>
      <c r="E101" s="38" t="s">
        <v>148</v>
      </c>
      <c r="F101" s="38">
        <v>1.1999999999999999E-3</v>
      </c>
      <c r="G101" s="39" t="s">
        <v>50</v>
      </c>
      <c r="H101" s="39">
        <v>0.24099999999999999</v>
      </c>
      <c r="I101" s="38">
        <v>5.9999999999999995E-4</v>
      </c>
      <c r="J101" s="38">
        <v>5.0000000000000001E-4</v>
      </c>
      <c r="K101" s="38">
        <v>4.4999999999999997E-3</v>
      </c>
      <c r="L101" s="38">
        <v>1E-3</v>
      </c>
      <c r="M101" s="38">
        <v>2.2000000000000001E-3</v>
      </c>
      <c r="N101" s="38">
        <v>2.0999999999999999E-3</v>
      </c>
    </row>
    <row r="102" spans="1:14" x14ac:dyDescent="0.25">
      <c r="A102" s="40">
        <v>5300</v>
      </c>
      <c r="B102" s="40" t="s">
        <v>76</v>
      </c>
      <c r="C102" s="40" t="s">
        <v>76</v>
      </c>
      <c r="D102" s="40" t="s">
        <v>148</v>
      </c>
      <c r="E102" s="40" t="s">
        <v>149</v>
      </c>
      <c r="F102" s="40">
        <v>3.9699999999999999E-2</v>
      </c>
      <c r="G102" s="41" t="s">
        <v>50</v>
      </c>
      <c r="H102" s="41">
        <v>0.24099999999999999</v>
      </c>
      <c r="I102" s="40">
        <v>2.07E-2</v>
      </c>
      <c r="J102" s="40">
        <v>1.8100000000000002E-2</v>
      </c>
      <c r="K102" s="40">
        <v>0.14940000000000001</v>
      </c>
      <c r="L102" s="40">
        <v>3.32E-2</v>
      </c>
      <c r="M102" s="40">
        <v>7.4200000000000002E-2</v>
      </c>
      <c r="N102" s="40">
        <v>6.93E-2</v>
      </c>
    </row>
    <row r="103" spans="1:14" x14ac:dyDescent="0.25">
      <c r="A103" s="38">
        <v>5304</v>
      </c>
      <c r="B103" s="38" t="s">
        <v>76</v>
      </c>
      <c r="C103" s="38" t="s">
        <v>76</v>
      </c>
      <c r="D103" s="38" t="s">
        <v>150</v>
      </c>
      <c r="E103" s="38" t="s">
        <v>151</v>
      </c>
      <c r="F103" s="38">
        <v>4.2599999999999999E-2</v>
      </c>
      <c r="G103" s="39" t="s">
        <v>50</v>
      </c>
      <c r="H103" s="39">
        <v>0.24099999999999999</v>
      </c>
      <c r="I103" s="38">
        <v>2.23E-2</v>
      </c>
      <c r="J103" s="38">
        <v>1.9400000000000001E-2</v>
      </c>
      <c r="K103" s="38">
        <v>0.1605</v>
      </c>
      <c r="L103" s="38">
        <v>3.5700000000000003E-2</v>
      </c>
      <c r="M103" s="38">
        <v>7.9699999999999993E-2</v>
      </c>
      <c r="N103" s="38">
        <v>7.4399999999999994E-2</v>
      </c>
    </row>
    <row r="104" spans="1:14" x14ac:dyDescent="0.25">
      <c r="A104" s="40">
        <v>5373</v>
      </c>
      <c r="B104" s="40" t="s">
        <v>76</v>
      </c>
      <c r="C104" s="40" t="s">
        <v>76</v>
      </c>
      <c r="D104" s="40" t="s">
        <v>146</v>
      </c>
      <c r="E104" s="40" t="s">
        <v>145</v>
      </c>
      <c r="F104" s="40">
        <v>8.5099999999999995E-2</v>
      </c>
      <c r="G104" s="41" t="s">
        <v>50</v>
      </c>
      <c r="H104" s="41">
        <v>0.24099999999999999</v>
      </c>
      <c r="I104" s="40">
        <v>4.4499999999999998E-2</v>
      </c>
      <c r="J104" s="40">
        <v>3.8800000000000001E-2</v>
      </c>
      <c r="K104" s="40">
        <v>0.32050000000000001</v>
      </c>
      <c r="L104" s="40">
        <v>7.1300000000000002E-2</v>
      </c>
      <c r="M104" s="40">
        <v>0.15909999999999999</v>
      </c>
      <c r="N104" s="40">
        <v>0.14860000000000001</v>
      </c>
    </row>
    <row r="105" spans="1:14" x14ac:dyDescent="0.25">
      <c r="A105" s="38">
        <v>714206</v>
      </c>
      <c r="B105" s="38" t="s">
        <v>76</v>
      </c>
      <c r="C105" s="38" t="s">
        <v>76</v>
      </c>
      <c r="D105" s="38" t="s">
        <v>152</v>
      </c>
      <c r="E105" s="38">
        <v>4249330</v>
      </c>
      <c r="F105" s="38">
        <v>1.2E-2</v>
      </c>
      <c r="G105" s="39" t="s">
        <v>54</v>
      </c>
      <c r="H105" s="39">
        <v>0.155</v>
      </c>
      <c r="I105" s="38">
        <v>7.9000000000000008E-3</v>
      </c>
      <c r="J105" s="38">
        <v>5.1000000000000004E-3</v>
      </c>
      <c r="K105" s="38">
        <v>0</v>
      </c>
      <c r="L105" s="38">
        <v>1.3100000000000001E-2</v>
      </c>
      <c r="M105" s="38">
        <v>4.8999999999999998E-3</v>
      </c>
      <c r="N105" s="38">
        <v>0</v>
      </c>
    </row>
    <row r="106" spans="1:14" x14ac:dyDescent="0.25">
      <c r="A106" s="40">
        <v>714207</v>
      </c>
      <c r="B106" s="40" t="s">
        <v>76</v>
      </c>
      <c r="C106" s="40" t="s">
        <v>76</v>
      </c>
      <c r="D106" s="40">
        <v>4249330</v>
      </c>
      <c r="E106" s="40">
        <v>4249348</v>
      </c>
      <c r="F106" s="40">
        <v>8.5000000000000006E-3</v>
      </c>
      <c r="G106" s="41" t="s">
        <v>54</v>
      </c>
      <c r="H106" s="41">
        <v>0.155</v>
      </c>
      <c r="I106" s="40">
        <v>5.5999999999999999E-3</v>
      </c>
      <c r="J106" s="40">
        <v>3.5999999999999999E-3</v>
      </c>
      <c r="K106" s="40">
        <v>0</v>
      </c>
      <c r="L106" s="40">
        <v>9.2999999999999992E-3</v>
      </c>
      <c r="M106" s="40">
        <v>3.5000000000000001E-3</v>
      </c>
      <c r="N106" s="40">
        <v>0</v>
      </c>
    </row>
    <row r="107" spans="1:14" x14ac:dyDescent="0.25">
      <c r="A107" s="38">
        <v>714208</v>
      </c>
      <c r="B107" s="38" t="s">
        <v>76</v>
      </c>
      <c r="C107" s="38" t="s">
        <v>76</v>
      </c>
      <c r="D107" s="38">
        <v>4249348</v>
      </c>
      <c r="E107" s="38">
        <v>4249356</v>
      </c>
      <c r="F107" s="38">
        <v>1.11E-2</v>
      </c>
      <c r="G107" s="39" t="s">
        <v>54</v>
      </c>
      <c r="H107" s="39">
        <v>0.155</v>
      </c>
      <c r="I107" s="38">
        <v>7.3000000000000001E-3</v>
      </c>
      <c r="J107" s="38">
        <v>4.7000000000000002E-3</v>
      </c>
      <c r="K107" s="38">
        <v>0</v>
      </c>
      <c r="L107" s="38">
        <v>1.2200000000000001E-2</v>
      </c>
      <c r="M107" s="38">
        <v>4.4999999999999997E-3</v>
      </c>
      <c r="N107" s="38">
        <v>0</v>
      </c>
    </row>
    <row r="108" spans="1:14" x14ac:dyDescent="0.25">
      <c r="A108" s="40">
        <v>714209</v>
      </c>
      <c r="B108" s="40" t="s">
        <v>76</v>
      </c>
      <c r="C108" s="40" t="s">
        <v>76</v>
      </c>
      <c r="D108" s="40">
        <v>4249356</v>
      </c>
      <c r="E108" s="40" t="s">
        <v>153</v>
      </c>
      <c r="F108" s="40">
        <v>2.5000000000000001E-3</v>
      </c>
      <c r="G108" s="41" t="s">
        <v>54</v>
      </c>
      <c r="H108" s="41">
        <v>0.155</v>
      </c>
      <c r="I108" s="40">
        <v>1.6999999999999999E-3</v>
      </c>
      <c r="J108" s="40">
        <v>1.1000000000000001E-3</v>
      </c>
      <c r="K108" s="40">
        <v>0</v>
      </c>
      <c r="L108" s="40">
        <v>2.8E-3</v>
      </c>
      <c r="M108" s="40">
        <v>1E-3</v>
      </c>
      <c r="N108" s="40">
        <v>0</v>
      </c>
    </row>
    <row r="109" spans="1:14" x14ac:dyDescent="0.25">
      <c r="A109" s="38">
        <v>714525</v>
      </c>
      <c r="B109" s="38" t="s">
        <v>76</v>
      </c>
      <c r="C109" s="38" t="s">
        <v>76</v>
      </c>
      <c r="D109" s="38" t="s">
        <v>154</v>
      </c>
      <c r="E109" s="38">
        <v>2214148</v>
      </c>
      <c r="F109" s="38">
        <v>1.3299999999999999E-2</v>
      </c>
      <c r="G109" s="39" t="s">
        <v>155</v>
      </c>
      <c r="H109" s="39">
        <v>0.23</v>
      </c>
      <c r="I109" s="38">
        <v>4.4999999999999997E-3</v>
      </c>
      <c r="J109" s="38">
        <v>2.0999999999999999E-3</v>
      </c>
      <c r="K109" s="38">
        <v>0</v>
      </c>
      <c r="L109" s="38">
        <v>7.0000000000000001E-3</v>
      </c>
      <c r="M109" s="38">
        <v>5.3E-3</v>
      </c>
      <c r="N109" s="38">
        <v>0</v>
      </c>
    </row>
    <row r="110" spans="1:14" x14ac:dyDescent="0.25">
      <c r="A110" s="40">
        <v>717305</v>
      </c>
      <c r="B110" s="40" t="s">
        <v>76</v>
      </c>
      <c r="C110" s="40" t="s">
        <v>76</v>
      </c>
      <c r="D110" s="40">
        <v>1154508</v>
      </c>
      <c r="E110" s="40">
        <v>1026682</v>
      </c>
      <c r="F110" s="40">
        <v>1.2200000000000001E-2</v>
      </c>
      <c r="G110" s="41" t="s">
        <v>52</v>
      </c>
      <c r="H110" s="41">
        <v>0.184</v>
      </c>
      <c r="I110" s="40">
        <v>1.01E-2</v>
      </c>
      <c r="J110" s="40">
        <v>5.7999999999999996E-3</v>
      </c>
      <c r="K110" s="40">
        <v>4.41E-2</v>
      </c>
      <c r="L110" s="40">
        <v>1.4E-2</v>
      </c>
      <c r="M110" s="40">
        <v>2.3E-2</v>
      </c>
      <c r="N110" s="40">
        <v>2.0899999999999998E-2</v>
      </c>
    </row>
    <row r="111" spans="1:14" x14ac:dyDescent="0.25">
      <c r="A111" s="38">
        <v>717306</v>
      </c>
      <c r="B111" s="38" t="s">
        <v>76</v>
      </c>
      <c r="C111" s="38" t="s">
        <v>76</v>
      </c>
      <c r="D111" s="38" t="s">
        <v>156</v>
      </c>
      <c r="E111" s="38">
        <v>1026682</v>
      </c>
      <c r="F111" s="38">
        <v>6.3E-3</v>
      </c>
      <c r="G111" s="39" t="s">
        <v>52</v>
      </c>
      <c r="H111" s="39">
        <v>0.184</v>
      </c>
      <c r="I111" s="38">
        <v>5.1999999999999998E-3</v>
      </c>
      <c r="J111" s="38">
        <v>3.0000000000000001E-3</v>
      </c>
      <c r="K111" s="38">
        <v>2.2599999999999999E-2</v>
      </c>
      <c r="L111" s="38">
        <v>7.1999999999999998E-3</v>
      </c>
      <c r="M111" s="38">
        <v>1.18E-2</v>
      </c>
      <c r="N111" s="38">
        <v>1.0699999999999999E-2</v>
      </c>
    </row>
    <row r="112" spans="1:14" x14ac:dyDescent="0.25">
      <c r="A112" s="40">
        <v>720189</v>
      </c>
      <c r="B112" s="40" t="s">
        <v>76</v>
      </c>
      <c r="C112" s="40" t="s">
        <v>76</v>
      </c>
      <c r="D112" s="40" t="s">
        <v>157</v>
      </c>
      <c r="E112" s="40">
        <v>5605024</v>
      </c>
      <c r="F112" s="40">
        <v>1.2E-2</v>
      </c>
      <c r="G112" s="41" t="s">
        <v>54</v>
      </c>
      <c r="H112" s="41">
        <v>0.155</v>
      </c>
      <c r="I112" s="40">
        <v>7.9000000000000008E-3</v>
      </c>
      <c r="J112" s="40">
        <v>5.1000000000000004E-3</v>
      </c>
      <c r="K112" s="40">
        <v>0</v>
      </c>
      <c r="L112" s="40">
        <v>1.3100000000000001E-2</v>
      </c>
      <c r="M112" s="40">
        <v>4.8999999999999998E-3</v>
      </c>
      <c r="N112" s="40">
        <v>0</v>
      </c>
    </row>
    <row r="113" spans="1:14" x14ac:dyDescent="0.25">
      <c r="A113" s="38">
        <v>720190</v>
      </c>
      <c r="B113" s="38" t="s">
        <v>76</v>
      </c>
      <c r="C113" s="38" t="s">
        <v>76</v>
      </c>
      <c r="D113" s="38">
        <v>5605024</v>
      </c>
      <c r="E113" s="38">
        <v>5605032</v>
      </c>
      <c r="F113" s="38">
        <v>9.7000000000000003E-3</v>
      </c>
      <c r="G113" s="39" t="s">
        <v>54</v>
      </c>
      <c r="H113" s="39">
        <v>0.155</v>
      </c>
      <c r="I113" s="38">
        <v>6.4000000000000003E-3</v>
      </c>
      <c r="J113" s="38">
        <v>4.1000000000000003E-3</v>
      </c>
      <c r="K113" s="38">
        <v>0</v>
      </c>
      <c r="L113" s="38">
        <v>1.06E-2</v>
      </c>
      <c r="M113" s="38">
        <v>4.0000000000000001E-3</v>
      </c>
      <c r="N113" s="38">
        <v>0</v>
      </c>
    </row>
    <row r="114" spans="1:14" x14ac:dyDescent="0.25">
      <c r="A114" s="40">
        <v>720191</v>
      </c>
      <c r="B114" s="40" t="s">
        <v>76</v>
      </c>
      <c r="C114" s="40" t="s">
        <v>76</v>
      </c>
      <c r="D114" s="40">
        <v>5605032</v>
      </c>
      <c r="E114" s="40">
        <v>4249330</v>
      </c>
      <c r="F114" s="40">
        <v>1.0699999999999999E-2</v>
      </c>
      <c r="G114" s="41" t="s">
        <v>54</v>
      </c>
      <c r="H114" s="41">
        <v>0.155</v>
      </c>
      <c r="I114" s="40">
        <v>7.0000000000000001E-3</v>
      </c>
      <c r="J114" s="40">
        <v>4.5999999999999999E-3</v>
      </c>
      <c r="K114" s="40">
        <v>0</v>
      </c>
      <c r="L114" s="40">
        <v>1.17E-2</v>
      </c>
      <c r="M114" s="40">
        <v>4.4000000000000003E-3</v>
      </c>
      <c r="N114" s="40">
        <v>0</v>
      </c>
    </row>
    <row r="115" spans="1:14" x14ac:dyDescent="0.25">
      <c r="A115" s="38">
        <v>720192</v>
      </c>
      <c r="B115" s="38" t="s">
        <v>76</v>
      </c>
      <c r="C115" s="38" t="s">
        <v>76</v>
      </c>
      <c r="D115" s="38">
        <v>4249330</v>
      </c>
      <c r="E115" s="38">
        <v>4249348</v>
      </c>
      <c r="F115" s="38">
        <v>8.5000000000000006E-3</v>
      </c>
      <c r="G115" s="39" t="s">
        <v>54</v>
      </c>
      <c r="H115" s="39">
        <v>0.155</v>
      </c>
      <c r="I115" s="38">
        <v>5.5999999999999999E-3</v>
      </c>
      <c r="J115" s="38">
        <v>3.5999999999999999E-3</v>
      </c>
      <c r="K115" s="38">
        <v>0</v>
      </c>
      <c r="L115" s="38">
        <v>9.2999999999999992E-3</v>
      </c>
      <c r="M115" s="38">
        <v>3.5000000000000001E-3</v>
      </c>
      <c r="N115" s="38">
        <v>0</v>
      </c>
    </row>
    <row r="116" spans="1:14" x14ac:dyDescent="0.25">
      <c r="A116" s="40">
        <v>720193</v>
      </c>
      <c r="B116" s="40" t="s">
        <v>76</v>
      </c>
      <c r="C116" s="40" t="s">
        <v>76</v>
      </c>
      <c r="D116" s="40">
        <v>4249348</v>
      </c>
      <c r="E116" s="40">
        <v>1283235</v>
      </c>
      <c r="F116" s="40">
        <v>1.2200000000000001E-2</v>
      </c>
      <c r="G116" s="41" t="s">
        <v>54</v>
      </c>
      <c r="H116" s="41">
        <v>0.155</v>
      </c>
      <c r="I116" s="40">
        <v>8.0000000000000002E-3</v>
      </c>
      <c r="J116" s="40">
        <v>5.1999999999999998E-3</v>
      </c>
      <c r="K116" s="40">
        <v>0</v>
      </c>
      <c r="L116" s="40">
        <v>1.34E-2</v>
      </c>
      <c r="M116" s="40">
        <v>5.0000000000000001E-3</v>
      </c>
      <c r="N116" s="40">
        <v>0</v>
      </c>
    </row>
    <row r="117" spans="1:14" x14ac:dyDescent="0.25">
      <c r="A117" s="38">
        <v>720194</v>
      </c>
      <c r="B117" s="38" t="s">
        <v>76</v>
      </c>
      <c r="C117" s="38" t="s">
        <v>76</v>
      </c>
      <c r="D117" s="38" t="s">
        <v>158</v>
      </c>
      <c r="E117" s="38">
        <v>1283235</v>
      </c>
      <c r="F117" s="38">
        <v>1.04E-2</v>
      </c>
      <c r="G117" s="39" t="s">
        <v>54</v>
      </c>
      <c r="H117" s="39">
        <v>0.155</v>
      </c>
      <c r="I117" s="38">
        <v>6.8999999999999999E-3</v>
      </c>
      <c r="J117" s="38">
        <v>4.4999999999999997E-3</v>
      </c>
      <c r="K117" s="38">
        <v>0</v>
      </c>
      <c r="L117" s="38">
        <v>1.14E-2</v>
      </c>
      <c r="M117" s="38">
        <v>4.3E-3</v>
      </c>
      <c r="N117" s="38">
        <v>0</v>
      </c>
    </row>
    <row r="118" spans="1:14" x14ac:dyDescent="0.25">
      <c r="A118" s="40">
        <v>725649</v>
      </c>
      <c r="B118" s="40" t="s">
        <v>76</v>
      </c>
      <c r="C118" s="40" t="s">
        <v>76</v>
      </c>
      <c r="D118" s="40" t="s">
        <v>159</v>
      </c>
      <c r="E118" s="40">
        <v>8339694</v>
      </c>
      <c r="F118" s="40">
        <v>2.3E-3</v>
      </c>
      <c r="G118" s="41" t="s">
        <v>54</v>
      </c>
      <c r="H118" s="41">
        <v>0.155</v>
      </c>
      <c r="I118" s="40">
        <v>1.5E-3</v>
      </c>
      <c r="J118" s="40">
        <v>1E-3</v>
      </c>
      <c r="K118" s="40">
        <v>0</v>
      </c>
      <c r="L118" s="40">
        <v>2.5999999999999999E-3</v>
      </c>
      <c r="M118" s="40">
        <v>1E-3</v>
      </c>
      <c r="N118" s="40">
        <v>0</v>
      </c>
    </row>
    <row r="119" spans="1:14" x14ac:dyDescent="0.25">
      <c r="A119" s="38">
        <v>725650</v>
      </c>
      <c r="B119" s="38" t="s">
        <v>76</v>
      </c>
      <c r="C119" s="38" t="s">
        <v>76</v>
      </c>
      <c r="D119" s="38">
        <v>8339694</v>
      </c>
      <c r="E119" s="38">
        <v>8339155</v>
      </c>
      <c r="F119" s="38">
        <v>2.5999999999999999E-3</v>
      </c>
      <c r="G119" s="39" t="s">
        <v>54</v>
      </c>
      <c r="H119" s="39">
        <v>0.155</v>
      </c>
      <c r="I119" s="38">
        <v>1.6999999999999999E-3</v>
      </c>
      <c r="J119" s="38">
        <v>1.1000000000000001E-3</v>
      </c>
      <c r="K119" s="38">
        <v>0</v>
      </c>
      <c r="L119" s="38">
        <v>2.8999999999999998E-3</v>
      </c>
      <c r="M119" s="38">
        <v>1.1000000000000001E-3</v>
      </c>
      <c r="N119" s="38">
        <v>0</v>
      </c>
    </row>
    <row r="120" spans="1:14" x14ac:dyDescent="0.25">
      <c r="A120" s="40">
        <v>725659</v>
      </c>
      <c r="B120" s="40" t="s">
        <v>76</v>
      </c>
      <c r="C120" s="40" t="s">
        <v>76</v>
      </c>
      <c r="D120" s="40">
        <v>8339155</v>
      </c>
      <c r="E120" s="40">
        <v>8339708</v>
      </c>
      <c r="F120" s="40">
        <v>1.2800000000000001E-2</v>
      </c>
      <c r="G120" s="41" t="s">
        <v>54</v>
      </c>
      <c r="H120" s="41">
        <v>0.155</v>
      </c>
      <c r="I120" s="40">
        <v>8.3999999999999995E-3</v>
      </c>
      <c r="J120" s="40">
        <v>5.4000000000000003E-3</v>
      </c>
      <c r="K120" s="40">
        <v>0</v>
      </c>
      <c r="L120" s="40">
        <v>1.4E-2</v>
      </c>
      <c r="M120" s="40">
        <v>5.1999999999999998E-3</v>
      </c>
      <c r="N120" s="40">
        <v>0</v>
      </c>
    </row>
    <row r="121" spans="1:14" x14ac:dyDescent="0.25">
      <c r="A121" s="38">
        <v>725660</v>
      </c>
      <c r="B121" s="38" t="s">
        <v>76</v>
      </c>
      <c r="C121" s="38" t="s">
        <v>76</v>
      </c>
      <c r="D121" s="38">
        <v>8339708</v>
      </c>
      <c r="E121" s="38">
        <v>1154508</v>
      </c>
      <c r="F121" s="38">
        <v>1.1599999999999999E-2</v>
      </c>
      <c r="G121" s="39" t="s">
        <v>54</v>
      </c>
      <c r="H121" s="39">
        <v>0.155</v>
      </c>
      <c r="I121" s="38">
        <v>7.6E-3</v>
      </c>
      <c r="J121" s="38">
        <v>4.8999999999999998E-3</v>
      </c>
      <c r="K121" s="38">
        <v>0</v>
      </c>
      <c r="L121" s="38">
        <v>1.2699999999999999E-2</v>
      </c>
      <c r="M121" s="38">
        <v>4.7000000000000002E-3</v>
      </c>
      <c r="N121" s="38">
        <v>0</v>
      </c>
    </row>
    <row r="122" spans="1:14" x14ac:dyDescent="0.25">
      <c r="A122" s="40">
        <v>741064</v>
      </c>
      <c r="B122" s="40" t="s">
        <v>76</v>
      </c>
      <c r="C122" s="40" t="s">
        <v>76</v>
      </c>
      <c r="D122" s="40">
        <v>1155245</v>
      </c>
      <c r="E122" s="40">
        <v>1155270</v>
      </c>
      <c r="F122" s="40">
        <v>0.02</v>
      </c>
      <c r="G122" s="41" t="s">
        <v>54</v>
      </c>
      <c r="H122" s="41">
        <v>0.155</v>
      </c>
      <c r="I122" s="40">
        <v>1.3100000000000001E-2</v>
      </c>
      <c r="J122" s="40">
        <v>8.5000000000000006E-3</v>
      </c>
      <c r="K122" s="40">
        <v>0</v>
      </c>
      <c r="L122" s="40">
        <v>2.1899999999999999E-2</v>
      </c>
      <c r="M122" s="40">
        <v>8.2000000000000007E-3</v>
      </c>
      <c r="N122" s="40">
        <v>0</v>
      </c>
    </row>
    <row r="123" spans="1:14" x14ac:dyDescent="0.25">
      <c r="A123" s="38">
        <v>747634</v>
      </c>
      <c r="B123" s="38">
        <v>4249372</v>
      </c>
      <c r="C123" s="38" t="s">
        <v>76</v>
      </c>
      <c r="D123" s="38" t="s">
        <v>160</v>
      </c>
      <c r="E123" s="38" t="s">
        <v>161</v>
      </c>
      <c r="F123" s="38">
        <v>1.1999999999999999E-3</v>
      </c>
      <c r="G123" s="39" t="s">
        <v>54</v>
      </c>
      <c r="H123" s="39">
        <v>0.155</v>
      </c>
      <c r="I123" s="38">
        <v>8.0000000000000004E-4</v>
      </c>
      <c r="J123" s="38">
        <v>5.0000000000000001E-4</v>
      </c>
      <c r="K123" s="38">
        <v>0</v>
      </c>
      <c r="L123" s="38">
        <v>1.2999999999999999E-3</v>
      </c>
      <c r="M123" s="38">
        <v>5.0000000000000001E-4</v>
      </c>
      <c r="N123" s="38">
        <v>0</v>
      </c>
    </row>
    <row r="124" spans="1:14" x14ac:dyDescent="0.25">
      <c r="A124" s="40">
        <v>764757</v>
      </c>
      <c r="B124" s="40" t="s">
        <v>76</v>
      </c>
      <c r="C124" s="40" t="s">
        <v>76</v>
      </c>
      <c r="D124" s="40" t="s">
        <v>162</v>
      </c>
      <c r="E124" s="40">
        <v>9500758</v>
      </c>
      <c r="F124" s="40">
        <v>1.2E-2</v>
      </c>
      <c r="G124" s="41" t="s">
        <v>54</v>
      </c>
      <c r="H124" s="41">
        <v>0.155</v>
      </c>
      <c r="I124" s="40">
        <v>7.9000000000000008E-3</v>
      </c>
      <c r="J124" s="40">
        <v>5.1000000000000004E-3</v>
      </c>
      <c r="K124" s="40">
        <v>0</v>
      </c>
      <c r="L124" s="40">
        <v>1.3100000000000001E-2</v>
      </c>
      <c r="M124" s="40">
        <v>4.8999999999999998E-3</v>
      </c>
      <c r="N124" s="40">
        <v>0</v>
      </c>
    </row>
    <row r="125" spans="1:14" x14ac:dyDescent="0.25">
      <c r="A125" s="38">
        <v>764758</v>
      </c>
      <c r="B125" s="38" t="s">
        <v>76</v>
      </c>
      <c r="C125" s="38" t="s">
        <v>76</v>
      </c>
      <c r="D125" s="38">
        <v>9500758</v>
      </c>
      <c r="E125" s="38">
        <v>9500766</v>
      </c>
      <c r="F125" s="38">
        <v>2.1000000000000001E-2</v>
      </c>
      <c r="G125" s="39" t="s">
        <v>54</v>
      </c>
      <c r="H125" s="39">
        <v>0.155</v>
      </c>
      <c r="I125" s="38">
        <v>1.38E-2</v>
      </c>
      <c r="J125" s="38">
        <v>8.8999999999999999E-3</v>
      </c>
      <c r="K125" s="38">
        <v>0</v>
      </c>
      <c r="L125" s="38">
        <v>2.3E-2</v>
      </c>
      <c r="M125" s="38">
        <v>8.6E-3</v>
      </c>
      <c r="N125" s="38">
        <v>0</v>
      </c>
    </row>
    <row r="126" spans="1:14" x14ac:dyDescent="0.25">
      <c r="A126" s="40">
        <v>764759</v>
      </c>
      <c r="B126" s="40" t="s">
        <v>76</v>
      </c>
      <c r="C126" s="40" t="s">
        <v>76</v>
      </c>
      <c r="D126" s="40">
        <v>9500766</v>
      </c>
      <c r="E126" s="40">
        <v>9500774</v>
      </c>
      <c r="F126" s="40">
        <v>2.2100000000000002E-2</v>
      </c>
      <c r="G126" s="41" t="s">
        <v>54</v>
      </c>
      <c r="H126" s="41">
        <v>0.155</v>
      </c>
      <c r="I126" s="40">
        <v>1.4500000000000001E-2</v>
      </c>
      <c r="J126" s="40">
        <v>9.4000000000000004E-3</v>
      </c>
      <c r="K126" s="40">
        <v>0</v>
      </c>
      <c r="L126" s="40">
        <v>2.4299999999999999E-2</v>
      </c>
      <c r="M126" s="40">
        <v>8.9999999999999993E-3</v>
      </c>
      <c r="N126" s="40">
        <v>0</v>
      </c>
    </row>
    <row r="127" spans="1:14" x14ac:dyDescent="0.25">
      <c r="A127" s="38">
        <v>764760</v>
      </c>
      <c r="B127" s="38" t="s">
        <v>76</v>
      </c>
      <c r="C127" s="38" t="s">
        <v>76</v>
      </c>
      <c r="D127" s="38">
        <v>9500774</v>
      </c>
      <c r="E127" s="38" t="s">
        <v>163</v>
      </c>
      <c r="F127" s="38">
        <v>6.4000000000000003E-3</v>
      </c>
      <c r="G127" s="39" t="s">
        <v>54</v>
      </c>
      <c r="H127" s="39">
        <v>0.155</v>
      </c>
      <c r="I127" s="38">
        <v>4.1999999999999997E-3</v>
      </c>
      <c r="J127" s="38">
        <v>2.7000000000000001E-3</v>
      </c>
      <c r="K127" s="38">
        <v>0</v>
      </c>
      <c r="L127" s="38">
        <v>7.0000000000000001E-3</v>
      </c>
      <c r="M127" s="38">
        <v>2.5999999999999999E-3</v>
      </c>
      <c r="N127" s="38">
        <v>0</v>
      </c>
    </row>
    <row r="128" spans="1:14" x14ac:dyDescent="0.25">
      <c r="A128" s="40">
        <v>783432</v>
      </c>
      <c r="B128" s="40">
        <v>1154176</v>
      </c>
      <c r="C128" s="40" t="s">
        <v>76</v>
      </c>
      <c r="D128" s="40" t="s">
        <v>164</v>
      </c>
      <c r="E128" s="40" t="s">
        <v>165</v>
      </c>
      <c r="F128" s="40">
        <v>1.1999999999999999E-3</v>
      </c>
      <c r="G128" s="41" t="s">
        <v>54</v>
      </c>
      <c r="H128" s="41">
        <v>0.155</v>
      </c>
      <c r="I128" s="40">
        <v>8.0000000000000004E-4</v>
      </c>
      <c r="J128" s="40">
        <v>5.0000000000000001E-4</v>
      </c>
      <c r="K128" s="40">
        <v>0</v>
      </c>
      <c r="L128" s="40">
        <v>1.2999999999999999E-3</v>
      </c>
      <c r="M128" s="40">
        <v>5.0000000000000001E-4</v>
      </c>
      <c r="N128" s="40">
        <v>0</v>
      </c>
    </row>
    <row r="129" spans="1:14" x14ac:dyDescent="0.25">
      <c r="A129" s="38">
        <v>783433</v>
      </c>
      <c r="B129" s="38">
        <v>1154176</v>
      </c>
      <c r="C129" s="38" t="s">
        <v>76</v>
      </c>
      <c r="D129" s="38" t="s">
        <v>166</v>
      </c>
      <c r="E129" s="38" t="s">
        <v>167</v>
      </c>
      <c r="F129" s="38">
        <v>1.1999999999999999E-3</v>
      </c>
      <c r="G129" s="39" t="s">
        <v>54</v>
      </c>
      <c r="H129" s="39">
        <v>0.155</v>
      </c>
      <c r="I129" s="38">
        <v>8.0000000000000004E-4</v>
      </c>
      <c r="J129" s="38">
        <v>5.0000000000000001E-4</v>
      </c>
      <c r="K129" s="38">
        <v>0</v>
      </c>
      <c r="L129" s="38">
        <v>1.2999999999999999E-3</v>
      </c>
      <c r="M129" s="38">
        <v>5.0000000000000001E-4</v>
      </c>
      <c r="N129" s="38">
        <v>0</v>
      </c>
    </row>
    <row r="130" spans="1:14" x14ac:dyDescent="0.25">
      <c r="A130" s="40">
        <v>791042</v>
      </c>
      <c r="B130" s="40" t="s">
        <v>76</v>
      </c>
      <c r="C130" s="40" t="s">
        <v>76</v>
      </c>
      <c r="D130" s="40" t="s">
        <v>89</v>
      </c>
      <c r="E130" s="40">
        <v>1618750</v>
      </c>
      <c r="F130" s="40">
        <v>1.6500000000000001E-2</v>
      </c>
      <c r="G130" s="41" t="s">
        <v>54</v>
      </c>
      <c r="H130" s="41">
        <v>0.155</v>
      </c>
      <c r="I130" s="40">
        <v>1.0800000000000001E-2</v>
      </c>
      <c r="J130" s="40">
        <v>7.0000000000000001E-3</v>
      </c>
      <c r="K130" s="40">
        <v>0</v>
      </c>
      <c r="L130" s="40">
        <v>1.8100000000000002E-2</v>
      </c>
      <c r="M130" s="40">
        <v>6.7000000000000002E-3</v>
      </c>
      <c r="N130" s="40">
        <v>0</v>
      </c>
    </row>
    <row r="131" spans="1:14" x14ac:dyDescent="0.25">
      <c r="A131" s="38">
        <v>791043</v>
      </c>
      <c r="B131" s="38" t="s">
        <v>76</v>
      </c>
      <c r="C131" s="38" t="s">
        <v>76</v>
      </c>
      <c r="D131" s="38">
        <v>1618750</v>
      </c>
      <c r="E131" s="38">
        <v>1618741</v>
      </c>
      <c r="F131" s="38">
        <v>2.8999999999999998E-3</v>
      </c>
      <c r="G131" s="39" t="s">
        <v>54</v>
      </c>
      <c r="H131" s="39">
        <v>0.155</v>
      </c>
      <c r="I131" s="38">
        <v>1.9E-3</v>
      </c>
      <c r="J131" s="38">
        <v>1.1999999999999999E-3</v>
      </c>
      <c r="K131" s="38">
        <v>0</v>
      </c>
      <c r="L131" s="38">
        <v>3.2000000000000002E-3</v>
      </c>
      <c r="M131" s="38">
        <v>1.1999999999999999E-3</v>
      </c>
      <c r="N131" s="38">
        <v>0</v>
      </c>
    </row>
    <row r="132" spans="1:14" x14ac:dyDescent="0.25">
      <c r="A132" s="40">
        <v>791044</v>
      </c>
      <c r="B132" s="40" t="s">
        <v>76</v>
      </c>
      <c r="C132" s="40" t="s">
        <v>76</v>
      </c>
      <c r="D132" s="40">
        <v>1618741</v>
      </c>
      <c r="E132" s="40">
        <v>1618733</v>
      </c>
      <c r="F132" s="40">
        <v>4.3400000000000001E-2</v>
      </c>
      <c r="G132" s="41" t="s">
        <v>54</v>
      </c>
      <c r="H132" s="41">
        <v>0.155</v>
      </c>
      <c r="I132" s="40">
        <v>2.8500000000000001E-2</v>
      </c>
      <c r="J132" s="40">
        <v>1.8499999999999999E-2</v>
      </c>
      <c r="K132" s="40">
        <v>0</v>
      </c>
      <c r="L132" s="40">
        <v>4.7500000000000001E-2</v>
      </c>
      <c r="M132" s="40">
        <v>1.77E-2</v>
      </c>
      <c r="N132" s="40">
        <v>0</v>
      </c>
    </row>
    <row r="133" spans="1:14" x14ac:dyDescent="0.25">
      <c r="A133" s="38">
        <v>791045</v>
      </c>
      <c r="B133" s="38" t="s">
        <v>76</v>
      </c>
      <c r="C133" s="38" t="s">
        <v>76</v>
      </c>
      <c r="D133" s="38">
        <v>1618733</v>
      </c>
      <c r="E133" s="38" t="s">
        <v>168</v>
      </c>
      <c r="F133" s="38">
        <v>8.6999999999999994E-3</v>
      </c>
      <c r="G133" s="39" t="s">
        <v>54</v>
      </c>
      <c r="H133" s="39">
        <v>0.155</v>
      </c>
      <c r="I133" s="38">
        <v>5.7000000000000002E-3</v>
      </c>
      <c r="J133" s="38">
        <v>3.7000000000000002E-3</v>
      </c>
      <c r="K133" s="38">
        <v>0</v>
      </c>
      <c r="L133" s="38">
        <v>9.4999999999999998E-3</v>
      </c>
      <c r="M133" s="38">
        <v>3.5000000000000001E-3</v>
      </c>
      <c r="N133" s="38">
        <v>0</v>
      </c>
    </row>
    <row r="134" spans="1:14" x14ac:dyDescent="0.25">
      <c r="A134" s="40">
        <v>796468</v>
      </c>
      <c r="B134" s="40">
        <v>1155679</v>
      </c>
      <c r="C134" s="40" t="s">
        <v>76</v>
      </c>
      <c r="D134" s="40" t="s">
        <v>82</v>
      </c>
      <c r="E134" s="40" t="s">
        <v>169</v>
      </c>
      <c r="F134" s="40">
        <v>1.1999999999999999E-3</v>
      </c>
      <c r="G134" s="41" t="s">
        <v>54</v>
      </c>
      <c r="H134" s="41">
        <v>0.155</v>
      </c>
      <c r="I134" s="40">
        <v>8.0000000000000004E-4</v>
      </c>
      <c r="J134" s="40">
        <v>5.0000000000000001E-4</v>
      </c>
      <c r="K134" s="40">
        <v>0</v>
      </c>
      <c r="L134" s="40">
        <v>1.2999999999999999E-3</v>
      </c>
      <c r="M134" s="40">
        <v>5.0000000000000001E-4</v>
      </c>
      <c r="N134" s="40">
        <v>0</v>
      </c>
    </row>
    <row r="135" spans="1:14" x14ac:dyDescent="0.25">
      <c r="A135" s="38">
        <v>802784</v>
      </c>
      <c r="B135" s="38">
        <v>1101251</v>
      </c>
      <c r="C135" s="38" t="s">
        <v>76</v>
      </c>
      <c r="D135" s="38" t="s">
        <v>134</v>
      </c>
      <c r="E135" s="38" t="s">
        <v>170</v>
      </c>
      <c r="F135" s="38">
        <v>1.1999999999999999E-3</v>
      </c>
      <c r="G135" s="39" t="s">
        <v>51</v>
      </c>
      <c r="H135" s="39">
        <v>0.27500000000000002</v>
      </c>
      <c r="I135" s="38">
        <v>5.0000000000000001E-4</v>
      </c>
      <c r="J135" s="38">
        <v>5.0000000000000001E-4</v>
      </c>
      <c r="K135" s="38">
        <v>4.5999999999999999E-3</v>
      </c>
      <c r="L135" s="38">
        <v>8.9999999999999998E-4</v>
      </c>
      <c r="M135" s="38">
        <v>2.2000000000000001E-3</v>
      </c>
      <c r="N135" s="38">
        <v>2.0999999999999999E-3</v>
      </c>
    </row>
    <row r="136" spans="1:14" x14ac:dyDescent="0.25">
      <c r="A136" s="40">
        <v>804306</v>
      </c>
      <c r="B136" s="40" t="s">
        <v>76</v>
      </c>
      <c r="C136" s="40" t="s">
        <v>76</v>
      </c>
      <c r="D136" s="40" t="s">
        <v>171</v>
      </c>
      <c r="E136" s="40" t="s">
        <v>172</v>
      </c>
      <c r="F136" s="40">
        <v>1.4E-2</v>
      </c>
      <c r="G136" s="41" t="s">
        <v>96</v>
      </c>
      <c r="H136" s="41">
        <v>0.39</v>
      </c>
      <c r="I136" s="40">
        <v>2E-3</v>
      </c>
      <c r="J136" s="40">
        <v>1.8E-3</v>
      </c>
      <c r="K136" s="40">
        <v>0</v>
      </c>
      <c r="L136" s="40">
        <v>2.8E-3</v>
      </c>
      <c r="M136" s="40">
        <v>4.7000000000000002E-3</v>
      </c>
      <c r="N136" s="40">
        <v>0</v>
      </c>
    </row>
    <row r="137" spans="1:14" x14ac:dyDescent="0.25">
      <c r="A137" s="38">
        <v>806782</v>
      </c>
      <c r="B137" s="38">
        <v>1154290</v>
      </c>
      <c r="C137" s="38" t="s">
        <v>76</v>
      </c>
      <c r="D137" s="38" t="s">
        <v>173</v>
      </c>
      <c r="E137" s="38" t="s">
        <v>174</v>
      </c>
      <c r="F137" s="38">
        <v>1.1999999999999999E-3</v>
      </c>
      <c r="G137" s="39" t="s">
        <v>54</v>
      </c>
      <c r="H137" s="39">
        <v>0.155</v>
      </c>
      <c r="I137" s="38">
        <v>8.0000000000000004E-4</v>
      </c>
      <c r="J137" s="38">
        <v>5.0000000000000001E-4</v>
      </c>
      <c r="K137" s="38">
        <v>0</v>
      </c>
      <c r="L137" s="38">
        <v>1.2999999999999999E-3</v>
      </c>
      <c r="M137" s="38">
        <v>5.0000000000000001E-4</v>
      </c>
      <c r="N137" s="38">
        <v>0</v>
      </c>
    </row>
    <row r="138" spans="1:14" x14ac:dyDescent="0.25">
      <c r="A138" s="40">
        <v>806799</v>
      </c>
      <c r="B138" s="40" t="s">
        <v>76</v>
      </c>
      <c r="C138" s="40" t="s">
        <v>76</v>
      </c>
      <c r="D138" s="40" t="s">
        <v>174</v>
      </c>
      <c r="E138" s="40" t="s">
        <v>175</v>
      </c>
      <c r="F138" s="40">
        <v>4.0000000000000001E-3</v>
      </c>
      <c r="G138" s="41" t="s">
        <v>54</v>
      </c>
      <c r="H138" s="41">
        <v>0.155</v>
      </c>
      <c r="I138" s="40">
        <v>2.5999999999999999E-3</v>
      </c>
      <c r="J138" s="40">
        <v>1.6999999999999999E-3</v>
      </c>
      <c r="K138" s="40">
        <v>0</v>
      </c>
      <c r="L138" s="40">
        <v>4.3E-3</v>
      </c>
      <c r="M138" s="40">
        <v>1.6000000000000001E-3</v>
      </c>
      <c r="N138" s="40">
        <v>0</v>
      </c>
    </row>
    <row r="139" spans="1:14" x14ac:dyDescent="0.25">
      <c r="A139" s="38">
        <v>807671</v>
      </c>
      <c r="B139" s="38" t="s">
        <v>76</v>
      </c>
      <c r="C139" s="38" t="s">
        <v>76</v>
      </c>
      <c r="D139" s="38" t="s">
        <v>176</v>
      </c>
      <c r="E139" s="38">
        <v>3272567</v>
      </c>
      <c r="F139" s="38">
        <v>1.6E-2</v>
      </c>
      <c r="G139" s="39" t="s">
        <v>54</v>
      </c>
      <c r="H139" s="39">
        <v>0.155</v>
      </c>
      <c r="I139" s="38">
        <v>1.0500000000000001E-2</v>
      </c>
      <c r="J139" s="38">
        <v>6.7999999999999996E-3</v>
      </c>
      <c r="K139" s="38">
        <v>0</v>
      </c>
      <c r="L139" s="38">
        <v>1.7500000000000002E-2</v>
      </c>
      <c r="M139" s="38">
        <v>6.4999999999999997E-3</v>
      </c>
      <c r="N139" s="38">
        <v>0</v>
      </c>
    </row>
    <row r="140" spans="1:14" x14ac:dyDescent="0.25">
      <c r="A140" s="40">
        <v>807672</v>
      </c>
      <c r="B140" s="40" t="s">
        <v>76</v>
      </c>
      <c r="C140" s="40" t="s">
        <v>76</v>
      </c>
      <c r="D140" s="40">
        <v>3272567</v>
      </c>
      <c r="E140" s="40">
        <v>3272664</v>
      </c>
      <c r="F140" s="40">
        <v>1.83E-2</v>
      </c>
      <c r="G140" s="41" t="s">
        <v>54</v>
      </c>
      <c r="H140" s="41">
        <v>0.155</v>
      </c>
      <c r="I140" s="40">
        <v>1.2E-2</v>
      </c>
      <c r="J140" s="40">
        <v>7.7999999999999996E-3</v>
      </c>
      <c r="K140" s="40">
        <v>0</v>
      </c>
      <c r="L140" s="40">
        <v>2.01E-2</v>
      </c>
      <c r="M140" s="40">
        <v>7.4999999999999997E-3</v>
      </c>
      <c r="N140" s="40">
        <v>0</v>
      </c>
    </row>
    <row r="141" spans="1:14" x14ac:dyDescent="0.25">
      <c r="A141" s="38">
        <v>807673</v>
      </c>
      <c r="B141" s="38" t="s">
        <v>76</v>
      </c>
      <c r="C141" s="38" t="s">
        <v>76</v>
      </c>
      <c r="D141" s="38">
        <v>3272664</v>
      </c>
      <c r="E141" s="38">
        <v>3272761</v>
      </c>
      <c r="F141" s="38">
        <v>7.7000000000000002E-3</v>
      </c>
      <c r="G141" s="39" t="s">
        <v>54</v>
      </c>
      <c r="H141" s="39">
        <v>0.155</v>
      </c>
      <c r="I141" s="38">
        <v>5.1000000000000004E-3</v>
      </c>
      <c r="J141" s="38">
        <v>3.3E-3</v>
      </c>
      <c r="K141" s="38">
        <v>0</v>
      </c>
      <c r="L141" s="38">
        <v>8.3999999999999995E-3</v>
      </c>
      <c r="M141" s="38">
        <v>3.0999999999999999E-3</v>
      </c>
      <c r="N141" s="38">
        <v>0</v>
      </c>
    </row>
    <row r="142" spans="1:14" x14ac:dyDescent="0.25">
      <c r="A142" s="40">
        <v>807674</v>
      </c>
      <c r="B142" s="40" t="s">
        <v>76</v>
      </c>
      <c r="C142" s="40" t="s">
        <v>76</v>
      </c>
      <c r="D142" s="40">
        <v>3272761</v>
      </c>
      <c r="E142" s="40">
        <v>3272869</v>
      </c>
      <c r="F142" s="40">
        <v>4.0000000000000001E-3</v>
      </c>
      <c r="G142" s="41" t="s">
        <v>54</v>
      </c>
      <c r="H142" s="41">
        <v>0.155</v>
      </c>
      <c r="I142" s="40">
        <v>2.5999999999999999E-3</v>
      </c>
      <c r="J142" s="40">
        <v>1.6999999999999999E-3</v>
      </c>
      <c r="K142" s="40">
        <v>0</v>
      </c>
      <c r="L142" s="40">
        <v>4.4000000000000003E-3</v>
      </c>
      <c r="M142" s="40">
        <v>1.6000000000000001E-3</v>
      </c>
      <c r="N142" s="40">
        <v>0</v>
      </c>
    </row>
    <row r="143" spans="1:14" x14ac:dyDescent="0.25">
      <c r="A143" s="38">
        <v>807675</v>
      </c>
      <c r="B143" s="38" t="s">
        <v>76</v>
      </c>
      <c r="C143" s="38" t="s">
        <v>76</v>
      </c>
      <c r="D143" s="38">
        <v>3272869</v>
      </c>
      <c r="E143" s="38" t="s">
        <v>177</v>
      </c>
      <c r="F143" s="38">
        <v>3.0000000000000001E-3</v>
      </c>
      <c r="G143" s="39" t="s">
        <v>54</v>
      </c>
      <c r="H143" s="39">
        <v>0.155</v>
      </c>
      <c r="I143" s="38">
        <v>2E-3</v>
      </c>
      <c r="J143" s="38">
        <v>1.2999999999999999E-3</v>
      </c>
      <c r="K143" s="38">
        <v>0</v>
      </c>
      <c r="L143" s="38">
        <v>3.3E-3</v>
      </c>
      <c r="M143" s="38">
        <v>1.1999999999999999E-3</v>
      </c>
      <c r="N143" s="38">
        <v>0</v>
      </c>
    </row>
    <row r="144" spans="1:14" x14ac:dyDescent="0.25">
      <c r="A144" s="40">
        <v>812080</v>
      </c>
      <c r="B144" s="40" t="s">
        <v>76</v>
      </c>
      <c r="C144" s="40" t="s">
        <v>76</v>
      </c>
      <c r="D144" s="40">
        <v>1155270</v>
      </c>
      <c r="E144" s="40">
        <v>3453561</v>
      </c>
      <c r="F144" s="40">
        <v>1.6E-2</v>
      </c>
      <c r="G144" s="41" t="s">
        <v>54</v>
      </c>
      <c r="H144" s="41">
        <v>0.155</v>
      </c>
      <c r="I144" s="40">
        <v>1.0500000000000001E-2</v>
      </c>
      <c r="J144" s="40">
        <v>6.7999999999999996E-3</v>
      </c>
      <c r="K144" s="40">
        <v>0</v>
      </c>
      <c r="L144" s="40">
        <v>1.7500000000000002E-2</v>
      </c>
      <c r="M144" s="40">
        <v>6.4999999999999997E-3</v>
      </c>
      <c r="N144" s="40">
        <v>0</v>
      </c>
    </row>
    <row r="145" spans="1:14" x14ac:dyDescent="0.25">
      <c r="A145" s="38">
        <v>812081</v>
      </c>
      <c r="B145" s="38" t="s">
        <v>76</v>
      </c>
      <c r="C145" s="38" t="s">
        <v>76</v>
      </c>
      <c r="D145" s="38">
        <v>3453561</v>
      </c>
      <c r="E145" s="38">
        <v>3453464</v>
      </c>
      <c r="F145" s="38">
        <v>2.0500000000000001E-2</v>
      </c>
      <c r="G145" s="39" t="s">
        <v>54</v>
      </c>
      <c r="H145" s="39">
        <v>0.155</v>
      </c>
      <c r="I145" s="38">
        <v>1.35E-2</v>
      </c>
      <c r="J145" s="38">
        <v>8.6999999999999994E-3</v>
      </c>
      <c r="K145" s="38">
        <v>0</v>
      </c>
      <c r="L145" s="38">
        <v>2.24E-2</v>
      </c>
      <c r="M145" s="38">
        <v>8.3999999999999995E-3</v>
      </c>
      <c r="N145" s="38">
        <v>0</v>
      </c>
    </row>
    <row r="146" spans="1:14" x14ac:dyDescent="0.25">
      <c r="A146" s="40">
        <v>812082</v>
      </c>
      <c r="B146" s="40" t="s">
        <v>76</v>
      </c>
      <c r="C146" s="40" t="s">
        <v>76</v>
      </c>
      <c r="D146" s="40">
        <v>3453464</v>
      </c>
      <c r="E146" s="40">
        <v>3453367</v>
      </c>
      <c r="F146" s="40">
        <v>8.6E-3</v>
      </c>
      <c r="G146" s="41" t="s">
        <v>54</v>
      </c>
      <c r="H146" s="41">
        <v>0.155</v>
      </c>
      <c r="I146" s="40">
        <v>5.7000000000000002E-3</v>
      </c>
      <c r="J146" s="40">
        <v>3.7000000000000002E-3</v>
      </c>
      <c r="K146" s="40">
        <v>0</v>
      </c>
      <c r="L146" s="40">
        <v>9.4999999999999998E-3</v>
      </c>
      <c r="M146" s="40">
        <v>3.5000000000000001E-3</v>
      </c>
      <c r="N146" s="40">
        <v>0</v>
      </c>
    </row>
    <row r="147" spans="1:14" x14ac:dyDescent="0.25">
      <c r="A147" s="38">
        <v>812083</v>
      </c>
      <c r="B147" s="38" t="s">
        <v>76</v>
      </c>
      <c r="C147" s="38" t="s">
        <v>76</v>
      </c>
      <c r="D147" s="38">
        <v>3453367</v>
      </c>
      <c r="E147" s="38" t="s">
        <v>178</v>
      </c>
      <c r="F147" s="38">
        <v>3.3999999999999998E-3</v>
      </c>
      <c r="G147" s="39" t="s">
        <v>54</v>
      </c>
      <c r="H147" s="39">
        <v>0.155</v>
      </c>
      <c r="I147" s="38">
        <v>2.2000000000000001E-3</v>
      </c>
      <c r="J147" s="38">
        <v>1.4E-3</v>
      </c>
      <c r="K147" s="38">
        <v>0</v>
      </c>
      <c r="L147" s="38">
        <v>3.7000000000000002E-3</v>
      </c>
      <c r="M147" s="38">
        <v>1.4E-3</v>
      </c>
      <c r="N147" s="38">
        <v>0</v>
      </c>
    </row>
    <row r="148" spans="1:14" x14ac:dyDescent="0.25">
      <c r="A148" s="40">
        <v>825166</v>
      </c>
      <c r="B148" s="40" t="s">
        <v>76</v>
      </c>
      <c r="C148" s="40" t="s">
        <v>76</v>
      </c>
      <c r="D148" s="40" t="s">
        <v>179</v>
      </c>
      <c r="E148" s="40">
        <v>1103431</v>
      </c>
      <c r="F148" s="40">
        <v>1.6500000000000001E-2</v>
      </c>
      <c r="G148" s="41" t="s">
        <v>54</v>
      </c>
      <c r="H148" s="41">
        <v>0.155</v>
      </c>
      <c r="I148" s="40">
        <v>1.0800000000000001E-2</v>
      </c>
      <c r="J148" s="40">
        <v>7.0000000000000001E-3</v>
      </c>
      <c r="K148" s="40">
        <v>0</v>
      </c>
      <c r="L148" s="40">
        <v>1.8100000000000002E-2</v>
      </c>
      <c r="M148" s="40">
        <v>6.7000000000000002E-3</v>
      </c>
      <c r="N148" s="40">
        <v>0</v>
      </c>
    </row>
    <row r="149" spans="1:14" x14ac:dyDescent="0.25">
      <c r="A149" s="38">
        <v>825167</v>
      </c>
      <c r="B149" s="38" t="s">
        <v>76</v>
      </c>
      <c r="C149" s="38" t="s">
        <v>76</v>
      </c>
      <c r="D149" s="38">
        <v>1103431</v>
      </c>
      <c r="E149" s="38" t="s">
        <v>77</v>
      </c>
      <c r="F149" s="38">
        <v>2.9899999999999999E-2</v>
      </c>
      <c r="G149" s="39" t="s">
        <v>54</v>
      </c>
      <c r="H149" s="39">
        <v>0.155</v>
      </c>
      <c r="I149" s="38">
        <v>1.9599999999999999E-2</v>
      </c>
      <c r="J149" s="38">
        <v>1.2699999999999999E-2</v>
      </c>
      <c r="K149" s="38">
        <v>0</v>
      </c>
      <c r="L149" s="38">
        <v>3.27E-2</v>
      </c>
      <c r="M149" s="38">
        <v>1.2200000000000001E-2</v>
      </c>
      <c r="N149" s="38">
        <v>0</v>
      </c>
    </row>
    <row r="150" spans="1:14" x14ac:dyDescent="0.25">
      <c r="A150" s="40">
        <v>828934</v>
      </c>
      <c r="B150" s="40" t="s">
        <v>76</v>
      </c>
      <c r="C150" s="40" t="s">
        <v>76</v>
      </c>
      <c r="D150" s="40" t="s">
        <v>180</v>
      </c>
      <c r="E150" s="40" t="s">
        <v>101</v>
      </c>
      <c r="F150" s="40">
        <v>4.9299999999999997E-2</v>
      </c>
      <c r="G150" s="41" t="s">
        <v>53</v>
      </c>
      <c r="H150" s="41">
        <v>0.29499999999999998</v>
      </c>
      <c r="I150" s="40">
        <v>1.0999999999999999E-2</v>
      </c>
      <c r="J150" s="40">
        <v>7.0000000000000001E-3</v>
      </c>
      <c r="K150" s="40">
        <v>0</v>
      </c>
      <c r="L150" s="40">
        <v>1.6500000000000001E-2</v>
      </c>
      <c r="M150" s="40">
        <v>1.77E-2</v>
      </c>
      <c r="N150" s="40">
        <v>0</v>
      </c>
    </row>
    <row r="151" spans="1:14" x14ac:dyDescent="0.25">
      <c r="A151" s="38">
        <v>828942</v>
      </c>
      <c r="B151" s="38" t="s">
        <v>76</v>
      </c>
      <c r="C151" s="38" t="s">
        <v>76</v>
      </c>
      <c r="D151" s="38" t="s">
        <v>102</v>
      </c>
      <c r="E151" s="38" t="s">
        <v>181</v>
      </c>
      <c r="F151" s="38">
        <v>6.5199999999999994E-2</v>
      </c>
      <c r="G151" s="39" t="s">
        <v>53</v>
      </c>
      <c r="H151" s="39">
        <v>0.29499999999999998</v>
      </c>
      <c r="I151" s="38">
        <v>1.4500000000000001E-2</v>
      </c>
      <c r="J151" s="38">
        <v>9.1999999999999998E-3</v>
      </c>
      <c r="K151" s="38">
        <v>0</v>
      </c>
      <c r="L151" s="38">
        <v>2.18E-2</v>
      </c>
      <c r="M151" s="38">
        <v>2.3300000000000001E-2</v>
      </c>
      <c r="N151" s="38">
        <v>0</v>
      </c>
    </row>
    <row r="152" spans="1:14" x14ac:dyDescent="0.25">
      <c r="A152" s="40">
        <v>828945</v>
      </c>
      <c r="B152" s="40" t="s">
        <v>76</v>
      </c>
      <c r="C152" s="40" t="s">
        <v>76</v>
      </c>
      <c r="D152" s="40" t="s">
        <v>181</v>
      </c>
      <c r="E152" s="40" t="s">
        <v>182</v>
      </c>
      <c r="F152" s="40">
        <v>7.0800000000000002E-2</v>
      </c>
      <c r="G152" s="41" t="s">
        <v>53</v>
      </c>
      <c r="H152" s="41">
        <v>0.29499999999999998</v>
      </c>
      <c r="I152" s="40">
        <v>1.5699999999999999E-2</v>
      </c>
      <c r="J152" s="40">
        <v>0.01</v>
      </c>
      <c r="K152" s="40">
        <v>0</v>
      </c>
      <c r="L152" s="40">
        <v>2.3599999999999999E-2</v>
      </c>
      <c r="M152" s="40">
        <v>2.5399999999999999E-2</v>
      </c>
      <c r="N152" s="40">
        <v>0</v>
      </c>
    </row>
    <row r="153" spans="1:14" x14ac:dyDescent="0.25">
      <c r="A153" s="38">
        <v>828948</v>
      </c>
      <c r="B153" s="38" t="s">
        <v>76</v>
      </c>
      <c r="C153" s="38" t="s">
        <v>76</v>
      </c>
      <c r="D153" s="38" t="s">
        <v>182</v>
      </c>
      <c r="E153" s="38" t="s">
        <v>183</v>
      </c>
      <c r="F153" s="38">
        <v>4.9299999999999997E-2</v>
      </c>
      <c r="G153" s="39" t="s">
        <v>53</v>
      </c>
      <c r="H153" s="39">
        <v>0.29499999999999998</v>
      </c>
      <c r="I153" s="38">
        <v>1.09E-2</v>
      </c>
      <c r="J153" s="38">
        <v>7.0000000000000001E-3</v>
      </c>
      <c r="K153" s="38">
        <v>0</v>
      </c>
      <c r="L153" s="38">
        <v>1.6500000000000001E-2</v>
      </c>
      <c r="M153" s="38">
        <v>1.77E-2</v>
      </c>
      <c r="N153" s="38">
        <v>0</v>
      </c>
    </row>
    <row r="154" spans="1:14" x14ac:dyDescent="0.25">
      <c r="A154" s="40">
        <v>830652</v>
      </c>
      <c r="B154" s="40">
        <v>1101382</v>
      </c>
      <c r="C154" s="40" t="s">
        <v>76</v>
      </c>
      <c r="D154" s="40" t="s">
        <v>184</v>
      </c>
      <c r="E154" s="40" t="s">
        <v>185</v>
      </c>
      <c r="F154" s="40">
        <v>1.1999999999999999E-3</v>
      </c>
      <c r="G154" s="41" t="s">
        <v>54</v>
      </c>
      <c r="H154" s="41">
        <v>0.155</v>
      </c>
      <c r="I154" s="40">
        <v>8.0000000000000004E-4</v>
      </c>
      <c r="J154" s="40">
        <v>5.0000000000000001E-4</v>
      </c>
      <c r="K154" s="40">
        <v>0</v>
      </c>
      <c r="L154" s="40">
        <v>1.2999999999999999E-3</v>
      </c>
      <c r="M154" s="40">
        <v>5.0000000000000001E-4</v>
      </c>
      <c r="N154" s="40">
        <v>0</v>
      </c>
    </row>
    <row r="155" spans="1:14" x14ac:dyDescent="0.25">
      <c r="A155" s="38">
        <v>830653</v>
      </c>
      <c r="B155" s="38" t="s">
        <v>76</v>
      </c>
      <c r="C155" s="38" t="s">
        <v>76</v>
      </c>
      <c r="D155" s="38" t="s">
        <v>185</v>
      </c>
      <c r="E155" s="38">
        <v>4637844</v>
      </c>
      <c r="F155" s="38">
        <v>1.6500000000000001E-2</v>
      </c>
      <c r="G155" s="39" t="s">
        <v>54</v>
      </c>
      <c r="H155" s="39">
        <v>0.155</v>
      </c>
      <c r="I155" s="38">
        <v>1.0800000000000001E-2</v>
      </c>
      <c r="J155" s="38">
        <v>7.0000000000000001E-3</v>
      </c>
      <c r="K155" s="38">
        <v>0</v>
      </c>
      <c r="L155" s="38">
        <v>1.8100000000000002E-2</v>
      </c>
      <c r="M155" s="38">
        <v>6.7000000000000002E-3</v>
      </c>
      <c r="N155" s="38">
        <v>0</v>
      </c>
    </row>
    <row r="156" spans="1:14" x14ac:dyDescent="0.25">
      <c r="A156" s="40">
        <v>830654</v>
      </c>
      <c r="B156" s="40" t="s">
        <v>76</v>
      </c>
      <c r="C156" s="40" t="s">
        <v>76</v>
      </c>
      <c r="D156" s="40">
        <v>4637844</v>
      </c>
      <c r="E156" s="40">
        <v>4637852</v>
      </c>
      <c r="F156" s="40">
        <v>9.1999999999999998E-3</v>
      </c>
      <c r="G156" s="41" t="s">
        <v>54</v>
      </c>
      <c r="H156" s="41">
        <v>0.155</v>
      </c>
      <c r="I156" s="40">
        <v>6.1000000000000004E-3</v>
      </c>
      <c r="J156" s="40">
        <v>3.8999999999999998E-3</v>
      </c>
      <c r="K156" s="40">
        <v>0</v>
      </c>
      <c r="L156" s="40">
        <v>1.01E-2</v>
      </c>
      <c r="M156" s="40">
        <v>3.8E-3</v>
      </c>
      <c r="N156" s="40">
        <v>0</v>
      </c>
    </row>
    <row r="157" spans="1:14" x14ac:dyDescent="0.25">
      <c r="A157" s="38">
        <v>830655</v>
      </c>
      <c r="B157" s="38" t="s">
        <v>76</v>
      </c>
      <c r="C157" s="38" t="s">
        <v>76</v>
      </c>
      <c r="D157" s="38">
        <v>4637852</v>
      </c>
      <c r="E157" s="38">
        <v>4637861</v>
      </c>
      <c r="F157" s="38">
        <v>2.0500000000000001E-2</v>
      </c>
      <c r="G157" s="39" t="s">
        <v>54</v>
      </c>
      <c r="H157" s="39">
        <v>0.155</v>
      </c>
      <c r="I157" s="38">
        <v>1.35E-2</v>
      </c>
      <c r="J157" s="38">
        <v>8.8000000000000005E-3</v>
      </c>
      <c r="K157" s="38">
        <v>0</v>
      </c>
      <c r="L157" s="38">
        <v>2.2499999999999999E-2</v>
      </c>
      <c r="M157" s="38">
        <v>8.3999999999999995E-3</v>
      </c>
      <c r="N157" s="38">
        <v>0</v>
      </c>
    </row>
    <row r="158" spans="1:14" x14ac:dyDescent="0.25">
      <c r="A158" s="40">
        <v>830657</v>
      </c>
      <c r="B158" s="40" t="s">
        <v>76</v>
      </c>
      <c r="C158" s="40" t="s">
        <v>76</v>
      </c>
      <c r="D158" s="40">
        <v>4637861</v>
      </c>
      <c r="E158" s="40" t="s">
        <v>186</v>
      </c>
      <c r="F158" s="40">
        <v>1.14E-2</v>
      </c>
      <c r="G158" s="41" t="s">
        <v>54</v>
      </c>
      <c r="H158" s="41">
        <v>0.155</v>
      </c>
      <c r="I158" s="40">
        <v>7.4999999999999997E-3</v>
      </c>
      <c r="J158" s="40">
        <v>4.8999999999999998E-3</v>
      </c>
      <c r="K158" s="40">
        <v>0</v>
      </c>
      <c r="L158" s="40">
        <v>1.2500000000000001E-2</v>
      </c>
      <c r="M158" s="40">
        <v>4.7000000000000002E-3</v>
      </c>
      <c r="N158" s="40">
        <v>0</v>
      </c>
    </row>
    <row r="159" spans="1:14" x14ac:dyDescent="0.25">
      <c r="A159" s="38">
        <v>9137</v>
      </c>
      <c r="B159" s="38" t="s">
        <v>76</v>
      </c>
      <c r="C159" s="38" t="s">
        <v>76</v>
      </c>
      <c r="D159" s="38" t="s">
        <v>187</v>
      </c>
      <c r="E159" s="38">
        <v>1154141</v>
      </c>
      <c r="F159" s="38">
        <v>1.6500000000000001E-2</v>
      </c>
      <c r="G159" s="39" t="s">
        <v>54</v>
      </c>
      <c r="H159" s="39">
        <v>0.155</v>
      </c>
      <c r="I159" s="38">
        <v>1.0800000000000001E-2</v>
      </c>
      <c r="J159" s="38">
        <v>7.0000000000000001E-3</v>
      </c>
      <c r="K159" s="38">
        <v>0</v>
      </c>
      <c r="L159" s="38">
        <v>1.8100000000000002E-2</v>
      </c>
      <c r="M159" s="38">
        <v>6.7000000000000002E-3</v>
      </c>
      <c r="N159" s="38">
        <v>0</v>
      </c>
    </row>
    <row r="160" spans="1:14" x14ac:dyDescent="0.25">
      <c r="A160" s="40">
        <v>9138</v>
      </c>
      <c r="B160" s="40" t="s">
        <v>76</v>
      </c>
      <c r="C160" s="40" t="s">
        <v>76</v>
      </c>
      <c r="D160" s="40">
        <v>1154141</v>
      </c>
      <c r="E160" s="40">
        <v>1154150</v>
      </c>
      <c r="F160" s="40">
        <v>2.1000000000000001E-2</v>
      </c>
      <c r="G160" s="41" t="s">
        <v>54</v>
      </c>
      <c r="H160" s="41">
        <v>0.155</v>
      </c>
      <c r="I160" s="40">
        <v>1.38E-2</v>
      </c>
      <c r="J160" s="40">
        <v>8.9999999999999993E-3</v>
      </c>
      <c r="K160" s="40">
        <v>0</v>
      </c>
      <c r="L160" s="40">
        <v>2.3E-2</v>
      </c>
      <c r="M160" s="40">
        <v>8.6E-3</v>
      </c>
      <c r="N160" s="40">
        <v>0</v>
      </c>
    </row>
    <row r="161" spans="1:14" x14ac:dyDescent="0.25">
      <c r="A161" s="38">
        <v>9139</v>
      </c>
      <c r="B161" s="38" t="s">
        <v>76</v>
      </c>
      <c r="C161" s="38" t="s">
        <v>76</v>
      </c>
      <c r="D161" s="38">
        <v>1154150</v>
      </c>
      <c r="E161" s="38">
        <v>1154133</v>
      </c>
      <c r="F161" s="38">
        <v>4.2999999999999997E-2</v>
      </c>
      <c r="G161" s="39" t="s">
        <v>54</v>
      </c>
      <c r="H161" s="39">
        <v>0.155</v>
      </c>
      <c r="I161" s="38">
        <v>2.8199999999999999E-2</v>
      </c>
      <c r="J161" s="38">
        <v>1.83E-2</v>
      </c>
      <c r="K161" s="38">
        <v>0</v>
      </c>
      <c r="L161" s="38">
        <v>4.7100000000000003E-2</v>
      </c>
      <c r="M161" s="38">
        <v>1.7500000000000002E-2</v>
      </c>
      <c r="N161" s="38">
        <v>0</v>
      </c>
    </row>
    <row r="162" spans="1:14" x14ac:dyDescent="0.25">
      <c r="A162" s="40">
        <v>9140</v>
      </c>
      <c r="B162" s="40" t="s">
        <v>76</v>
      </c>
      <c r="C162" s="40" t="s">
        <v>76</v>
      </c>
      <c r="D162" s="40">
        <v>1154133</v>
      </c>
      <c r="E162" s="40">
        <v>1154303</v>
      </c>
      <c r="F162" s="40">
        <v>8.3000000000000001E-3</v>
      </c>
      <c r="G162" s="41" t="s">
        <v>54</v>
      </c>
      <c r="H162" s="41">
        <v>0.155</v>
      </c>
      <c r="I162" s="40">
        <v>5.4999999999999997E-3</v>
      </c>
      <c r="J162" s="40">
        <v>3.5000000000000001E-3</v>
      </c>
      <c r="K162" s="40">
        <v>0</v>
      </c>
      <c r="L162" s="40">
        <v>9.1000000000000004E-3</v>
      </c>
      <c r="M162" s="40">
        <v>3.3999999999999998E-3</v>
      </c>
      <c r="N162" s="40">
        <v>0</v>
      </c>
    </row>
    <row r="163" spans="1:14" x14ac:dyDescent="0.25">
      <c r="A163" s="38">
        <v>9141</v>
      </c>
      <c r="B163" s="38" t="s">
        <v>76</v>
      </c>
      <c r="C163" s="38" t="s">
        <v>76</v>
      </c>
      <c r="D163" s="38" t="s">
        <v>188</v>
      </c>
      <c r="E163" s="38">
        <v>1154141</v>
      </c>
      <c r="F163" s="38">
        <v>1.6500000000000001E-2</v>
      </c>
      <c r="G163" s="39" t="s">
        <v>54</v>
      </c>
      <c r="H163" s="39">
        <v>0.155</v>
      </c>
      <c r="I163" s="38">
        <v>1.0800000000000001E-2</v>
      </c>
      <c r="J163" s="38">
        <v>7.0000000000000001E-3</v>
      </c>
      <c r="K163" s="38">
        <v>0</v>
      </c>
      <c r="L163" s="38">
        <v>1.8100000000000002E-2</v>
      </c>
      <c r="M163" s="38">
        <v>6.7000000000000002E-3</v>
      </c>
      <c r="N163" s="38">
        <v>0</v>
      </c>
    </row>
    <row r="164" spans="1:14" x14ac:dyDescent="0.25">
      <c r="A164" s="40">
        <v>9142</v>
      </c>
      <c r="B164" s="40" t="s">
        <v>76</v>
      </c>
      <c r="C164" s="40" t="s">
        <v>76</v>
      </c>
      <c r="D164" s="40">
        <v>1154141</v>
      </c>
      <c r="E164" s="40">
        <v>1154150</v>
      </c>
      <c r="F164" s="40">
        <v>2.1000000000000001E-2</v>
      </c>
      <c r="G164" s="41" t="s">
        <v>54</v>
      </c>
      <c r="H164" s="41">
        <v>0.155</v>
      </c>
      <c r="I164" s="40">
        <v>1.38E-2</v>
      </c>
      <c r="J164" s="40">
        <v>8.9999999999999993E-3</v>
      </c>
      <c r="K164" s="40">
        <v>0</v>
      </c>
      <c r="L164" s="40">
        <v>2.3E-2</v>
      </c>
      <c r="M164" s="40">
        <v>8.6E-3</v>
      </c>
      <c r="N164" s="40">
        <v>0</v>
      </c>
    </row>
    <row r="165" spans="1:14" x14ac:dyDescent="0.25">
      <c r="A165" s="38">
        <v>9143</v>
      </c>
      <c r="B165" s="38" t="s">
        <v>76</v>
      </c>
      <c r="C165" s="38" t="s">
        <v>76</v>
      </c>
      <c r="D165" s="38">
        <v>1154150</v>
      </c>
      <c r="E165" s="38" t="s">
        <v>164</v>
      </c>
      <c r="F165" s="38">
        <v>8.8999999999999999E-3</v>
      </c>
      <c r="G165" s="39" t="s">
        <v>54</v>
      </c>
      <c r="H165" s="39">
        <v>0.155</v>
      </c>
      <c r="I165" s="38">
        <v>5.7999999999999996E-3</v>
      </c>
      <c r="J165" s="38">
        <v>3.8E-3</v>
      </c>
      <c r="K165" s="38">
        <v>0</v>
      </c>
      <c r="L165" s="38">
        <v>9.7000000000000003E-3</v>
      </c>
      <c r="M165" s="38">
        <v>3.5999999999999999E-3</v>
      </c>
      <c r="N165" s="38">
        <v>0</v>
      </c>
    </row>
    <row r="166" spans="1:14" x14ac:dyDescent="0.25">
      <c r="A166" s="40">
        <v>9253</v>
      </c>
      <c r="B166" s="40" t="s">
        <v>76</v>
      </c>
      <c r="C166" s="40" t="s">
        <v>76</v>
      </c>
      <c r="D166" s="40" t="s">
        <v>189</v>
      </c>
      <c r="E166" s="40">
        <v>1154079</v>
      </c>
      <c r="F166" s="40">
        <v>1.6500000000000001E-2</v>
      </c>
      <c r="G166" s="41" t="s">
        <v>54</v>
      </c>
      <c r="H166" s="41">
        <v>0.155</v>
      </c>
      <c r="I166" s="40">
        <v>1.0800000000000001E-2</v>
      </c>
      <c r="J166" s="40">
        <v>7.0000000000000001E-3</v>
      </c>
      <c r="K166" s="40">
        <v>0</v>
      </c>
      <c r="L166" s="40">
        <v>1.8100000000000002E-2</v>
      </c>
      <c r="M166" s="40">
        <v>6.7000000000000002E-3</v>
      </c>
      <c r="N166" s="40">
        <v>0</v>
      </c>
    </row>
    <row r="167" spans="1:14" x14ac:dyDescent="0.25">
      <c r="A167" s="38">
        <v>9254</v>
      </c>
      <c r="B167" s="38" t="s">
        <v>76</v>
      </c>
      <c r="C167" s="38" t="s">
        <v>76</v>
      </c>
      <c r="D167" s="38">
        <v>1154079</v>
      </c>
      <c r="E167" s="38">
        <v>1154125</v>
      </c>
      <c r="F167" s="38">
        <v>3.56E-2</v>
      </c>
      <c r="G167" s="39" t="s">
        <v>54</v>
      </c>
      <c r="H167" s="39">
        <v>0.155</v>
      </c>
      <c r="I167" s="38">
        <v>2.3400000000000001E-2</v>
      </c>
      <c r="J167" s="38">
        <v>1.52E-2</v>
      </c>
      <c r="K167" s="38">
        <v>0</v>
      </c>
      <c r="L167" s="38">
        <v>3.9E-2</v>
      </c>
      <c r="M167" s="38">
        <v>1.4500000000000001E-2</v>
      </c>
      <c r="N167" s="38">
        <v>0</v>
      </c>
    </row>
    <row r="168" spans="1:14" x14ac:dyDescent="0.25">
      <c r="A168" s="40">
        <v>9256</v>
      </c>
      <c r="B168" s="40" t="s">
        <v>76</v>
      </c>
      <c r="C168" s="40" t="s">
        <v>76</v>
      </c>
      <c r="D168" s="40">
        <v>1154125</v>
      </c>
      <c r="E168" s="40">
        <v>1154117</v>
      </c>
      <c r="F168" s="40">
        <v>1.2699999999999999E-2</v>
      </c>
      <c r="G168" s="41" t="s">
        <v>54</v>
      </c>
      <c r="H168" s="41">
        <v>0.155</v>
      </c>
      <c r="I168" s="40">
        <v>8.3000000000000001E-3</v>
      </c>
      <c r="J168" s="40">
        <v>5.4000000000000003E-3</v>
      </c>
      <c r="K168" s="40">
        <v>0</v>
      </c>
      <c r="L168" s="40">
        <v>1.3899999999999999E-2</v>
      </c>
      <c r="M168" s="40">
        <v>5.1999999999999998E-3</v>
      </c>
      <c r="N168" s="40">
        <v>0</v>
      </c>
    </row>
    <row r="169" spans="1:14" x14ac:dyDescent="0.25">
      <c r="A169" s="38">
        <v>9257</v>
      </c>
      <c r="B169" s="38" t="s">
        <v>76</v>
      </c>
      <c r="C169" s="38" t="s">
        <v>76</v>
      </c>
      <c r="D169" s="38">
        <v>1154117</v>
      </c>
      <c r="E169" s="38">
        <v>1154109</v>
      </c>
      <c r="F169" s="38">
        <v>2.06E-2</v>
      </c>
      <c r="G169" s="39" t="s">
        <v>54</v>
      </c>
      <c r="H169" s="39">
        <v>0.155</v>
      </c>
      <c r="I169" s="38">
        <v>1.35E-2</v>
      </c>
      <c r="J169" s="38">
        <v>8.8000000000000005E-3</v>
      </c>
      <c r="K169" s="38">
        <v>0</v>
      </c>
      <c r="L169" s="38">
        <v>2.2499999999999999E-2</v>
      </c>
      <c r="M169" s="38">
        <v>8.3999999999999995E-3</v>
      </c>
      <c r="N169" s="38">
        <v>0</v>
      </c>
    </row>
    <row r="170" spans="1:14" x14ac:dyDescent="0.25">
      <c r="A170" s="40">
        <v>9258</v>
      </c>
      <c r="B170" s="40" t="s">
        <v>76</v>
      </c>
      <c r="C170" s="40" t="s">
        <v>76</v>
      </c>
      <c r="D170" s="40">
        <v>1154109</v>
      </c>
      <c r="E170" s="40" t="s">
        <v>190</v>
      </c>
      <c r="F170" s="40">
        <v>8.0000000000000002E-3</v>
      </c>
      <c r="G170" s="41" t="s">
        <v>54</v>
      </c>
      <c r="H170" s="41">
        <v>0.155</v>
      </c>
      <c r="I170" s="40">
        <v>5.3E-3</v>
      </c>
      <c r="J170" s="40">
        <v>3.3999999999999998E-3</v>
      </c>
      <c r="K170" s="40">
        <v>0</v>
      </c>
      <c r="L170" s="40">
        <v>8.8000000000000005E-3</v>
      </c>
      <c r="M170" s="40">
        <v>3.3E-3</v>
      </c>
      <c r="N170" s="40">
        <v>0</v>
      </c>
    </row>
    <row r="171" spans="1:14" x14ac:dyDescent="0.25">
      <c r="A171" s="38">
        <v>9264</v>
      </c>
      <c r="B171" s="38" t="s">
        <v>76</v>
      </c>
      <c r="C171" s="38" t="s">
        <v>76</v>
      </c>
      <c r="D171" s="38" t="s">
        <v>191</v>
      </c>
      <c r="E171" s="38">
        <v>1154206</v>
      </c>
      <c r="F171" s="38">
        <v>1.6500000000000001E-2</v>
      </c>
      <c r="G171" s="39" t="s">
        <v>54</v>
      </c>
      <c r="H171" s="39">
        <v>0.155</v>
      </c>
      <c r="I171" s="38">
        <v>1.0800000000000001E-2</v>
      </c>
      <c r="J171" s="38">
        <v>7.0000000000000001E-3</v>
      </c>
      <c r="K171" s="38">
        <v>0</v>
      </c>
      <c r="L171" s="38">
        <v>1.8100000000000002E-2</v>
      </c>
      <c r="M171" s="38">
        <v>6.7000000000000002E-3</v>
      </c>
      <c r="N171" s="38">
        <v>0</v>
      </c>
    </row>
    <row r="172" spans="1:14" x14ac:dyDescent="0.25">
      <c r="A172" s="40">
        <v>9265</v>
      </c>
      <c r="B172" s="40" t="s">
        <v>76</v>
      </c>
      <c r="C172" s="40" t="s">
        <v>76</v>
      </c>
      <c r="D172" s="40">
        <v>1154206</v>
      </c>
      <c r="E172" s="40">
        <v>1154192</v>
      </c>
      <c r="F172" s="40">
        <v>2.1600000000000001E-2</v>
      </c>
      <c r="G172" s="41" t="s">
        <v>54</v>
      </c>
      <c r="H172" s="41">
        <v>0.155</v>
      </c>
      <c r="I172" s="40">
        <v>1.4200000000000001E-2</v>
      </c>
      <c r="J172" s="40">
        <v>9.1999999999999998E-3</v>
      </c>
      <c r="K172" s="40">
        <v>0</v>
      </c>
      <c r="L172" s="40">
        <v>2.3699999999999999E-2</v>
      </c>
      <c r="M172" s="40">
        <v>8.8000000000000005E-3</v>
      </c>
      <c r="N172" s="40">
        <v>0</v>
      </c>
    </row>
    <row r="173" spans="1:14" x14ac:dyDescent="0.25">
      <c r="A173" s="38">
        <v>9266</v>
      </c>
      <c r="B173" s="38" t="s">
        <v>76</v>
      </c>
      <c r="C173" s="38" t="s">
        <v>76</v>
      </c>
      <c r="D173" s="38">
        <v>1154192</v>
      </c>
      <c r="E173" s="38">
        <v>1154222</v>
      </c>
      <c r="F173" s="38">
        <v>1.2800000000000001E-2</v>
      </c>
      <c r="G173" s="39" t="s">
        <v>54</v>
      </c>
      <c r="H173" s="39">
        <v>0.155</v>
      </c>
      <c r="I173" s="38">
        <v>8.3999999999999995E-3</v>
      </c>
      <c r="J173" s="38">
        <v>5.4999999999999997E-3</v>
      </c>
      <c r="K173" s="38">
        <v>0</v>
      </c>
      <c r="L173" s="38">
        <v>1.41E-2</v>
      </c>
      <c r="M173" s="38">
        <v>5.1999999999999998E-3</v>
      </c>
      <c r="N173" s="38">
        <v>0</v>
      </c>
    </row>
    <row r="174" spans="1:14" x14ac:dyDescent="0.25">
      <c r="A174" s="40">
        <v>9267</v>
      </c>
      <c r="B174" s="40" t="s">
        <v>76</v>
      </c>
      <c r="C174" s="40" t="s">
        <v>76</v>
      </c>
      <c r="D174" s="40">
        <v>1154222</v>
      </c>
      <c r="E174" s="40">
        <v>1154231</v>
      </c>
      <c r="F174" s="40">
        <v>6.3500000000000001E-2</v>
      </c>
      <c r="G174" s="41" t="s">
        <v>54</v>
      </c>
      <c r="H174" s="41">
        <v>0.155</v>
      </c>
      <c r="I174" s="40">
        <v>4.1799999999999997E-2</v>
      </c>
      <c r="J174" s="40">
        <v>2.7099999999999999E-2</v>
      </c>
      <c r="K174" s="40">
        <v>0</v>
      </c>
      <c r="L174" s="40">
        <v>6.9599999999999995E-2</v>
      </c>
      <c r="M174" s="40">
        <v>2.5899999999999999E-2</v>
      </c>
      <c r="N174" s="40">
        <v>0</v>
      </c>
    </row>
    <row r="175" spans="1:14" x14ac:dyDescent="0.25">
      <c r="A175" s="38">
        <v>9268</v>
      </c>
      <c r="B175" s="38" t="s">
        <v>76</v>
      </c>
      <c r="C175" s="38" t="s">
        <v>76</v>
      </c>
      <c r="D175" s="38">
        <v>1154231</v>
      </c>
      <c r="E175" s="38" t="s">
        <v>192</v>
      </c>
      <c r="F175" s="38">
        <v>2.3999999999999998E-3</v>
      </c>
      <c r="G175" s="39" t="s">
        <v>54</v>
      </c>
      <c r="H175" s="39">
        <v>0.155</v>
      </c>
      <c r="I175" s="38">
        <v>1.6000000000000001E-3</v>
      </c>
      <c r="J175" s="38">
        <v>1E-3</v>
      </c>
      <c r="K175" s="38">
        <v>0</v>
      </c>
      <c r="L175" s="38">
        <v>2.5999999999999999E-3</v>
      </c>
      <c r="M175" s="38">
        <v>1E-3</v>
      </c>
      <c r="N175" s="38">
        <v>0</v>
      </c>
    </row>
    <row r="176" spans="1:14" x14ac:dyDescent="0.25">
      <c r="A176" s="40">
        <v>9274</v>
      </c>
      <c r="B176" s="40" t="s">
        <v>76</v>
      </c>
      <c r="C176" s="40" t="s">
        <v>76</v>
      </c>
      <c r="D176" s="40" t="s">
        <v>193</v>
      </c>
      <c r="E176" s="40">
        <v>1154249</v>
      </c>
      <c r="F176" s="40">
        <v>1.6500000000000001E-2</v>
      </c>
      <c r="G176" s="41" t="s">
        <v>54</v>
      </c>
      <c r="H176" s="41">
        <v>0.155</v>
      </c>
      <c r="I176" s="40">
        <v>1.0800000000000001E-2</v>
      </c>
      <c r="J176" s="40">
        <v>7.0000000000000001E-3</v>
      </c>
      <c r="K176" s="40">
        <v>0</v>
      </c>
      <c r="L176" s="40">
        <v>1.8100000000000002E-2</v>
      </c>
      <c r="M176" s="40">
        <v>6.7000000000000002E-3</v>
      </c>
      <c r="N176" s="40">
        <v>0</v>
      </c>
    </row>
    <row r="177" spans="1:14" x14ac:dyDescent="0.25">
      <c r="A177" s="38">
        <v>9275</v>
      </c>
      <c r="B177" s="38" t="s">
        <v>76</v>
      </c>
      <c r="C177" s="38" t="s">
        <v>76</v>
      </c>
      <c r="D177" s="38">
        <v>1154249</v>
      </c>
      <c r="E177" s="38">
        <v>1154257</v>
      </c>
      <c r="F177" s="38">
        <v>3.8999999999999998E-3</v>
      </c>
      <c r="G177" s="39" t="s">
        <v>54</v>
      </c>
      <c r="H177" s="39">
        <v>0.155</v>
      </c>
      <c r="I177" s="38">
        <v>2.5000000000000001E-3</v>
      </c>
      <c r="J177" s="38">
        <v>1.6000000000000001E-3</v>
      </c>
      <c r="K177" s="38">
        <v>0</v>
      </c>
      <c r="L177" s="38">
        <v>4.1999999999999997E-3</v>
      </c>
      <c r="M177" s="38">
        <v>1.6000000000000001E-3</v>
      </c>
      <c r="N177" s="38">
        <v>0</v>
      </c>
    </row>
    <row r="178" spans="1:14" x14ac:dyDescent="0.25">
      <c r="A178" s="40">
        <v>9276</v>
      </c>
      <c r="B178" s="40" t="s">
        <v>76</v>
      </c>
      <c r="C178" s="40" t="s">
        <v>76</v>
      </c>
      <c r="D178" s="40">
        <v>1154257</v>
      </c>
      <c r="E178" s="40">
        <v>1154273</v>
      </c>
      <c r="F178" s="40">
        <v>1.66E-2</v>
      </c>
      <c r="G178" s="41" t="s">
        <v>54</v>
      </c>
      <c r="H178" s="41">
        <v>0.155</v>
      </c>
      <c r="I178" s="40">
        <v>1.09E-2</v>
      </c>
      <c r="J178" s="40">
        <v>7.1000000000000004E-3</v>
      </c>
      <c r="K178" s="40">
        <v>0</v>
      </c>
      <c r="L178" s="40">
        <v>1.8200000000000001E-2</v>
      </c>
      <c r="M178" s="40">
        <v>6.7999999999999996E-3</v>
      </c>
      <c r="N178" s="40">
        <v>0</v>
      </c>
    </row>
    <row r="179" spans="1:14" x14ac:dyDescent="0.25">
      <c r="A179" s="38">
        <v>9277</v>
      </c>
      <c r="B179" s="38" t="s">
        <v>76</v>
      </c>
      <c r="C179" s="38" t="s">
        <v>76</v>
      </c>
      <c r="D179" s="38">
        <v>1154273</v>
      </c>
      <c r="E179" s="38" t="s">
        <v>194</v>
      </c>
      <c r="F179" s="38">
        <v>0.01</v>
      </c>
      <c r="G179" s="39" t="s">
        <v>54</v>
      </c>
      <c r="H179" s="39">
        <v>0.155</v>
      </c>
      <c r="I179" s="38">
        <v>6.6E-3</v>
      </c>
      <c r="J179" s="38">
        <v>4.3E-3</v>
      </c>
      <c r="K179" s="38">
        <v>0</v>
      </c>
      <c r="L179" s="38">
        <v>1.0999999999999999E-2</v>
      </c>
      <c r="M179" s="38">
        <v>4.1000000000000003E-3</v>
      </c>
      <c r="N179" s="38">
        <v>0</v>
      </c>
    </row>
    <row r="180" spans="1:14" x14ac:dyDescent="0.25">
      <c r="A180" s="40">
        <v>9299</v>
      </c>
      <c r="B180" s="40" t="s">
        <v>76</v>
      </c>
      <c r="C180" s="40" t="s">
        <v>76</v>
      </c>
      <c r="D180" s="40" t="s">
        <v>195</v>
      </c>
      <c r="E180" s="40">
        <v>1102958</v>
      </c>
      <c r="F180" s="40">
        <v>1.6500000000000001E-2</v>
      </c>
      <c r="G180" s="41" t="s">
        <v>54</v>
      </c>
      <c r="H180" s="41">
        <v>0.155</v>
      </c>
      <c r="I180" s="40">
        <v>1.0800000000000001E-2</v>
      </c>
      <c r="J180" s="40">
        <v>7.0000000000000001E-3</v>
      </c>
      <c r="K180" s="40">
        <v>0</v>
      </c>
      <c r="L180" s="40">
        <v>1.8100000000000002E-2</v>
      </c>
      <c r="M180" s="40">
        <v>6.7000000000000002E-3</v>
      </c>
      <c r="N180" s="40">
        <v>0</v>
      </c>
    </row>
    <row r="181" spans="1:14" x14ac:dyDescent="0.25">
      <c r="A181" s="38">
        <v>9300</v>
      </c>
      <c r="B181" s="38" t="s">
        <v>76</v>
      </c>
      <c r="C181" s="38" t="s">
        <v>76</v>
      </c>
      <c r="D181" s="38">
        <v>1102958</v>
      </c>
      <c r="E181" s="38" t="s">
        <v>196</v>
      </c>
      <c r="F181" s="38">
        <v>1.4E-2</v>
      </c>
      <c r="G181" s="39" t="s">
        <v>54</v>
      </c>
      <c r="H181" s="39">
        <v>0.155</v>
      </c>
      <c r="I181" s="38">
        <v>9.1999999999999998E-3</v>
      </c>
      <c r="J181" s="38">
        <v>6.0000000000000001E-3</v>
      </c>
      <c r="K181" s="38">
        <v>0</v>
      </c>
      <c r="L181" s="38">
        <v>1.54E-2</v>
      </c>
      <c r="M181" s="38">
        <v>5.7000000000000002E-3</v>
      </c>
      <c r="N181" s="38">
        <v>0</v>
      </c>
    </row>
    <row r="182" spans="1:14" x14ac:dyDescent="0.25">
      <c r="A182" s="40">
        <v>9301</v>
      </c>
      <c r="B182" s="40" t="s">
        <v>76</v>
      </c>
      <c r="C182" s="40" t="s">
        <v>76</v>
      </c>
      <c r="D182" s="40" t="s">
        <v>196</v>
      </c>
      <c r="E182" s="40">
        <v>1154508</v>
      </c>
      <c r="F182" s="40">
        <v>6.9699999999999998E-2</v>
      </c>
      <c r="G182" s="41" t="s">
        <v>54</v>
      </c>
      <c r="H182" s="41">
        <v>0.155</v>
      </c>
      <c r="I182" s="40">
        <v>4.58E-2</v>
      </c>
      <c r="J182" s="40">
        <v>2.9700000000000001E-2</v>
      </c>
      <c r="K182" s="40">
        <v>0</v>
      </c>
      <c r="L182" s="40">
        <v>7.6399999999999996E-2</v>
      </c>
      <c r="M182" s="40">
        <v>2.8500000000000001E-2</v>
      </c>
      <c r="N182" s="40">
        <v>0</v>
      </c>
    </row>
    <row r="183" spans="1:14" x14ac:dyDescent="0.25">
      <c r="A183" s="38">
        <v>9302</v>
      </c>
      <c r="B183" s="38" t="s">
        <v>76</v>
      </c>
      <c r="C183" s="38" t="s">
        <v>76</v>
      </c>
      <c r="D183" s="38">
        <v>1154508</v>
      </c>
      <c r="E183" s="38" t="s">
        <v>197</v>
      </c>
      <c r="F183" s="38">
        <v>7.4999999999999997E-3</v>
      </c>
      <c r="G183" s="39" t="s">
        <v>54</v>
      </c>
      <c r="H183" s="39">
        <v>0.155</v>
      </c>
      <c r="I183" s="38">
        <v>4.8999999999999998E-3</v>
      </c>
      <c r="J183" s="38">
        <v>3.2000000000000002E-3</v>
      </c>
      <c r="K183" s="38">
        <v>0</v>
      </c>
      <c r="L183" s="38">
        <v>8.2000000000000007E-3</v>
      </c>
      <c r="M183" s="38">
        <v>3.0999999999999999E-3</v>
      </c>
      <c r="N183" s="38">
        <v>0</v>
      </c>
    </row>
    <row r="184" spans="1:14" x14ac:dyDescent="0.25">
      <c r="A184" s="40">
        <v>9320</v>
      </c>
      <c r="B184" s="40" t="s">
        <v>76</v>
      </c>
      <c r="C184" s="40" t="s">
        <v>76</v>
      </c>
      <c r="D184" s="40" t="s">
        <v>198</v>
      </c>
      <c r="E184" s="40">
        <v>1154443</v>
      </c>
      <c r="F184" s="40">
        <v>1.6500000000000001E-2</v>
      </c>
      <c r="G184" s="41" t="s">
        <v>54</v>
      </c>
      <c r="H184" s="41">
        <v>0.155</v>
      </c>
      <c r="I184" s="40">
        <v>1.0800000000000001E-2</v>
      </c>
      <c r="J184" s="40">
        <v>7.0000000000000001E-3</v>
      </c>
      <c r="K184" s="40">
        <v>0</v>
      </c>
      <c r="L184" s="40">
        <v>1.8100000000000002E-2</v>
      </c>
      <c r="M184" s="40">
        <v>6.7000000000000002E-3</v>
      </c>
      <c r="N184" s="40">
        <v>0</v>
      </c>
    </row>
    <row r="185" spans="1:14" x14ac:dyDescent="0.25">
      <c r="A185" s="38">
        <v>9321</v>
      </c>
      <c r="B185" s="38" t="s">
        <v>76</v>
      </c>
      <c r="C185" s="38" t="s">
        <v>76</v>
      </c>
      <c r="D185" s="38">
        <v>1154443</v>
      </c>
      <c r="E185" s="38">
        <v>1154451</v>
      </c>
      <c r="F185" s="38">
        <v>1.2800000000000001E-2</v>
      </c>
      <c r="G185" s="39" t="s">
        <v>54</v>
      </c>
      <c r="H185" s="39">
        <v>0.155</v>
      </c>
      <c r="I185" s="38">
        <v>8.3999999999999995E-3</v>
      </c>
      <c r="J185" s="38">
        <v>5.4999999999999997E-3</v>
      </c>
      <c r="K185" s="38">
        <v>0</v>
      </c>
      <c r="L185" s="38">
        <v>1.4E-2</v>
      </c>
      <c r="M185" s="38">
        <v>5.1999999999999998E-3</v>
      </c>
      <c r="N185" s="38">
        <v>0</v>
      </c>
    </row>
    <row r="186" spans="1:14" x14ac:dyDescent="0.25">
      <c r="A186" s="40">
        <v>9322</v>
      </c>
      <c r="B186" s="40" t="s">
        <v>76</v>
      </c>
      <c r="C186" s="40" t="s">
        <v>76</v>
      </c>
      <c r="D186" s="40">
        <v>1154451</v>
      </c>
      <c r="E186" s="40">
        <v>1154478</v>
      </c>
      <c r="F186" s="40">
        <v>1.84E-2</v>
      </c>
      <c r="G186" s="41" t="s">
        <v>54</v>
      </c>
      <c r="H186" s="41">
        <v>0.155</v>
      </c>
      <c r="I186" s="40">
        <v>1.21E-2</v>
      </c>
      <c r="J186" s="40">
        <v>7.7999999999999996E-3</v>
      </c>
      <c r="K186" s="40">
        <v>0</v>
      </c>
      <c r="L186" s="40">
        <v>2.01E-2</v>
      </c>
      <c r="M186" s="40">
        <v>7.4999999999999997E-3</v>
      </c>
      <c r="N186" s="40">
        <v>0</v>
      </c>
    </row>
    <row r="187" spans="1:14" x14ac:dyDescent="0.25">
      <c r="A187" s="38">
        <v>9323</v>
      </c>
      <c r="B187" s="38" t="s">
        <v>76</v>
      </c>
      <c r="C187" s="38" t="s">
        <v>76</v>
      </c>
      <c r="D187" s="38">
        <v>1154478</v>
      </c>
      <c r="E187" s="38" t="s">
        <v>199</v>
      </c>
      <c r="F187" s="38">
        <v>2.4299999999999999E-2</v>
      </c>
      <c r="G187" s="39" t="s">
        <v>54</v>
      </c>
      <c r="H187" s="39">
        <v>0.155</v>
      </c>
      <c r="I187" s="38">
        <v>1.6E-2</v>
      </c>
      <c r="J187" s="38">
        <v>1.04E-2</v>
      </c>
      <c r="K187" s="38">
        <v>0</v>
      </c>
      <c r="L187" s="38">
        <v>2.6700000000000002E-2</v>
      </c>
      <c r="M187" s="38">
        <v>9.9000000000000008E-3</v>
      </c>
      <c r="N187" s="38">
        <v>0</v>
      </c>
    </row>
    <row r="188" spans="1:14" x14ac:dyDescent="0.25">
      <c r="A188" s="40">
        <v>9341</v>
      </c>
      <c r="B188" s="40" t="s">
        <v>76</v>
      </c>
      <c r="C188" s="40" t="s">
        <v>76</v>
      </c>
      <c r="D188" s="40" t="s">
        <v>200</v>
      </c>
      <c r="E188" s="40">
        <v>1154575</v>
      </c>
      <c r="F188" s="40">
        <v>1.6500000000000001E-2</v>
      </c>
      <c r="G188" s="41" t="s">
        <v>54</v>
      </c>
      <c r="H188" s="41">
        <v>0.155</v>
      </c>
      <c r="I188" s="40">
        <v>1.0800000000000001E-2</v>
      </c>
      <c r="J188" s="40">
        <v>7.0000000000000001E-3</v>
      </c>
      <c r="K188" s="40">
        <v>0</v>
      </c>
      <c r="L188" s="40">
        <v>1.8100000000000002E-2</v>
      </c>
      <c r="M188" s="40">
        <v>6.7000000000000002E-3</v>
      </c>
      <c r="N188" s="40">
        <v>0</v>
      </c>
    </row>
    <row r="189" spans="1:14" x14ac:dyDescent="0.25">
      <c r="A189" s="38">
        <v>9342</v>
      </c>
      <c r="B189" s="38" t="s">
        <v>76</v>
      </c>
      <c r="C189" s="38" t="s">
        <v>76</v>
      </c>
      <c r="D189" s="38" t="s">
        <v>201</v>
      </c>
      <c r="E189" s="38">
        <v>1154575</v>
      </c>
      <c r="F189" s="38">
        <v>1.6500000000000001E-2</v>
      </c>
      <c r="G189" s="39" t="s">
        <v>54</v>
      </c>
      <c r="H189" s="39">
        <v>0.155</v>
      </c>
      <c r="I189" s="38">
        <v>1.0800000000000001E-2</v>
      </c>
      <c r="J189" s="38">
        <v>7.0000000000000001E-3</v>
      </c>
      <c r="K189" s="38">
        <v>0</v>
      </c>
      <c r="L189" s="38">
        <v>1.8100000000000002E-2</v>
      </c>
      <c r="M189" s="38">
        <v>6.7000000000000002E-3</v>
      </c>
      <c r="N189" s="38">
        <v>0</v>
      </c>
    </row>
    <row r="190" spans="1:14" x14ac:dyDescent="0.25">
      <c r="A190" s="40">
        <v>9343</v>
      </c>
      <c r="B190" s="40" t="s">
        <v>76</v>
      </c>
      <c r="C190" s="40" t="s">
        <v>76</v>
      </c>
      <c r="D190" s="40">
        <v>1154575</v>
      </c>
      <c r="E190" s="40">
        <v>1154583</v>
      </c>
      <c r="F190" s="40">
        <v>1.8599999999999998E-2</v>
      </c>
      <c r="G190" s="41" t="s">
        <v>54</v>
      </c>
      <c r="H190" s="41">
        <v>0.155</v>
      </c>
      <c r="I190" s="40">
        <v>1.2200000000000001E-2</v>
      </c>
      <c r="J190" s="40">
        <v>7.9000000000000008E-3</v>
      </c>
      <c r="K190" s="40">
        <v>0</v>
      </c>
      <c r="L190" s="40">
        <v>2.0299999999999999E-2</v>
      </c>
      <c r="M190" s="40">
        <v>7.6E-3</v>
      </c>
      <c r="N190" s="40">
        <v>0</v>
      </c>
    </row>
    <row r="191" spans="1:14" x14ac:dyDescent="0.25">
      <c r="A191" s="38">
        <v>9344</v>
      </c>
      <c r="B191" s="38" t="s">
        <v>76</v>
      </c>
      <c r="C191" s="38" t="s">
        <v>76</v>
      </c>
      <c r="D191" s="38">
        <v>1154575</v>
      </c>
      <c r="E191" s="38">
        <v>1154583</v>
      </c>
      <c r="F191" s="38">
        <v>1.8599999999999998E-2</v>
      </c>
      <c r="G191" s="39" t="s">
        <v>54</v>
      </c>
      <c r="H191" s="39">
        <v>0.155</v>
      </c>
      <c r="I191" s="38">
        <v>1.2200000000000001E-2</v>
      </c>
      <c r="J191" s="38">
        <v>7.9000000000000008E-3</v>
      </c>
      <c r="K191" s="38">
        <v>0</v>
      </c>
      <c r="L191" s="38">
        <v>2.0299999999999999E-2</v>
      </c>
      <c r="M191" s="38">
        <v>7.6E-3</v>
      </c>
      <c r="N191" s="38">
        <v>0</v>
      </c>
    </row>
    <row r="192" spans="1:14" x14ac:dyDescent="0.25">
      <c r="A192" s="40">
        <v>9345</v>
      </c>
      <c r="B192" s="40" t="s">
        <v>76</v>
      </c>
      <c r="C192" s="40" t="s">
        <v>76</v>
      </c>
      <c r="D192" s="40">
        <v>1154583</v>
      </c>
      <c r="E192" s="40" t="s">
        <v>202</v>
      </c>
      <c r="F192" s="40">
        <v>2.2100000000000002E-2</v>
      </c>
      <c r="G192" s="41" t="s">
        <v>54</v>
      </c>
      <c r="H192" s="41">
        <v>0.155</v>
      </c>
      <c r="I192" s="40">
        <v>1.4500000000000001E-2</v>
      </c>
      <c r="J192" s="40">
        <v>9.4000000000000004E-3</v>
      </c>
      <c r="K192" s="40">
        <v>0</v>
      </c>
      <c r="L192" s="40">
        <v>2.4199999999999999E-2</v>
      </c>
      <c r="M192" s="40">
        <v>8.9999999999999993E-3</v>
      </c>
      <c r="N192" s="40">
        <v>0</v>
      </c>
    </row>
    <row r="193" spans="1:14" x14ac:dyDescent="0.25">
      <c r="A193" s="38">
        <v>9351</v>
      </c>
      <c r="B193" s="38" t="s">
        <v>76</v>
      </c>
      <c r="C193" s="38" t="s">
        <v>76</v>
      </c>
      <c r="D193" s="38">
        <v>1154583</v>
      </c>
      <c r="E193" s="38">
        <v>1103211</v>
      </c>
      <c r="F193" s="38">
        <v>2.12E-2</v>
      </c>
      <c r="G193" s="39" t="s">
        <v>54</v>
      </c>
      <c r="H193" s="39">
        <v>0.155</v>
      </c>
      <c r="I193" s="38">
        <v>1.3899999999999999E-2</v>
      </c>
      <c r="J193" s="38">
        <v>9.1000000000000004E-3</v>
      </c>
      <c r="K193" s="38">
        <v>0</v>
      </c>
      <c r="L193" s="38">
        <v>2.3300000000000001E-2</v>
      </c>
      <c r="M193" s="38">
        <v>8.6999999999999994E-3</v>
      </c>
      <c r="N193" s="38">
        <v>0</v>
      </c>
    </row>
    <row r="194" spans="1:14" x14ac:dyDescent="0.25">
      <c r="A194" s="40">
        <v>9352</v>
      </c>
      <c r="B194" s="40" t="s">
        <v>76</v>
      </c>
      <c r="C194" s="40" t="s">
        <v>76</v>
      </c>
      <c r="D194" s="40">
        <v>1103211</v>
      </c>
      <c r="E194" s="40" t="s">
        <v>203</v>
      </c>
      <c r="F194" s="40">
        <v>1.6199999999999999E-2</v>
      </c>
      <c r="G194" s="41" t="s">
        <v>54</v>
      </c>
      <c r="H194" s="41">
        <v>0.155</v>
      </c>
      <c r="I194" s="40">
        <v>1.06E-2</v>
      </c>
      <c r="J194" s="40">
        <v>6.8999999999999999E-3</v>
      </c>
      <c r="K194" s="40">
        <v>0</v>
      </c>
      <c r="L194" s="40">
        <v>1.77E-2</v>
      </c>
      <c r="M194" s="40">
        <v>6.6E-3</v>
      </c>
      <c r="N194" s="40">
        <v>0</v>
      </c>
    </row>
    <row r="195" spans="1:14" x14ac:dyDescent="0.25">
      <c r="A195" s="38">
        <v>9783</v>
      </c>
      <c r="B195" s="38" t="s">
        <v>76</v>
      </c>
      <c r="C195" s="38" t="s">
        <v>76</v>
      </c>
      <c r="D195" s="38" t="s">
        <v>204</v>
      </c>
      <c r="E195" s="38">
        <v>1154346</v>
      </c>
      <c r="F195" s="38">
        <v>1.6500000000000001E-2</v>
      </c>
      <c r="G195" s="39" t="s">
        <v>54</v>
      </c>
      <c r="H195" s="39">
        <v>0.155</v>
      </c>
      <c r="I195" s="38">
        <v>1.0800000000000001E-2</v>
      </c>
      <c r="J195" s="38">
        <v>7.0000000000000001E-3</v>
      </c>
      <c r="K195" s="38">
        <v>0</v>
      </c>
      <c r="L195" s="38">
        <v>1.8100000000000002E-2</v>
      </c>
      <c r="M195" s="38">
        <v>6.7000000000000002E-3</v>
      </c>
      <c r="N195" s="38">
        <v>0</v>
      </c>
    </row>
    <row r="196" spans="1:14" x14ac:dyDescent="0.25">
      <c r="A196" s="40">
        <v>9784</v>
      </c>
      <c r="B196" s="40" t="s">
        <v>76</v>
      </c>
      <c r="C196" s="40" t="s">
        <v>76</v>
      </c>
      <c r="D196" s="40">
        <v>1154346</v>
      </c>
      <c r="E196" s="40">
        <v>1154354</v>
      </c>
      <c r="F196" s="40">
        <v>1.0200000000000001E-2</v>
      </c>
      <c r="G196" s="41" t="s">
        <v>54</v>
      </c>
      <c r="H196" s="41">
        <v>0.155</v>
      </c>
      <c r="I196" s="40">
        <v>6.7000000000000002E-3</v>
      </c>
      <c r="J196" s="40">
        <v>4.4000000000000003E-3</v>
      </c>
      <c r="K196" s="40">
        <v>0</v>
      </c>
      <c r="L196" s="40">
        <v>1.12E-2</v>
      </c>
      <c r="M196" s="40">
        <v>4.1999999999999997E-3</v>
      </c>
      <c r="N196" s="40">
        <v>0</v>
      </c>
    </row>
    <row r="197" spans="1:14" x14ac:dyDescent="0.25">
      <c r="A197" s="38">
        <v>9785</v>
      </c>
      <c r="B197" s="38" t="s">
        <v>76</v>
      </c>
      <c r="C197" s="38" t="s">
        <v>76</v>
      </c>
      <c r="D197" s="38">
        <v>1154354</v>
      </c>
      <c r="E197" s="38" t="s">
        <v>205</v>
      </c>
      <c r="F197" s="38">
        <v>2.3E-2</v>
      </c>
      <c r="G197" s="39" t="s">
        <v>54</v>
      </c>
      <c r="H197" s="39">
        <v>0.155</v>
      </c>
      <c r="I197" s="38">
        <v>1.5100000000000001E-2</v>
      </c>
      <c r="J197" s="38">
        <v>9.7999999999999997E-3</v>
      </c>
      <c r="K197" s="38">
        <v>0</v>
      </c>
      <c r="L197" s="38">
        <v>2.52E-2</v>
      </c>
      <c r="M197" s="38">
        <v>9.4000000000000004E-3</v>
      </c>
      <c r="N197" s="38">
        <v>0</v>
      </c>
    </row>
    <row r="198" spans="1:14" x14ac:dyDescent="0.25">
      <c r="A198" s="40">
        <v>9811</v>
      </c>
      <c r="B198" s="40" t="s">
        <v>76</v>
      </c>
      <c r="C198" s="40" t="s">
        <v>76</v>
      </c>
      <c r="D198" s="40" t="s">
        <v>206</v>
      </c>
      <c r="E198" s="40">
        <v>1103296</v>
      </c>
      <c r="F198" s="40">
        <v>1.2E-2</v>
      </c>
      <c r="G198" s="41" t="s">
        <v>54</v>
      </c>
      <c r="H198" s="41">
        <v>0.155</v>
      </c>
      <c r="I198" s="40">
        <v>7.9000000000000008E-3</v>
      </c>
      <c r="J198" s="40">
        <v>5.1000000000000004E-3</v>
      </c>
      <c r="K198" s="40">
        <v>0</v>
      </c>
      <c r="L198" s="40">
        <v>1.3100000000000001E-2</v>
      </c>
      <c r="M198" s="40">
        <v>4.8999999999999998E-3</v>
      </c>
      <c r="N198" s="40">
        <v>0</v>
      </c>
    </row>
    <row r="199" spans="1:14" x14ac:dyDescent="0.25">
      <c r="A199" s="38">
        <v>9822</v>
      </c>
      <c r="B199" s="38" t="s">
        <v>76</v>
      </c>
      <c r="C199" s="38" t="s">
        <v>76</v>
      </c>
      <c r="D199" s="38">
        <v>1103296</v>
      </c>
      <c r="E199" s="38">
        <v>1103300</v>
      </c>
      <c r="F199" s="38">
        <v>8.9999999999999993E-3</v>
      </c>
      <c r="G199" s="39" t="s">
        <v>54</v>
      </c>
      <c r="H199" s="39">
        <v>0.155</v>
      </c>
      <c r="I199" s="38">
        <v>5.8999999999999999E-3</v>
      </c>
      <c r="J199" s="38">
        <v>3.8E-3</v>
      </c>
      <c r="K199" s="38">
        <v>0</v>
      </c>
      <c r="L199" s="38">
        <v>9.7999999999999997E-3</v>
      </c>
      <c r="M199" s="38">
        <v>3.7000000000000002E-3</v>
      </c>
      <c r="N199" s="38">
        <v>0</v>
      </c>
    </row>
    <row r="200" spans="1:14" x14ac:dyDescent="0.25">
      <c r="A200" s="40">
        <v>9823</v>
      </c>
      <c r="B200" s="40" t="s">
        <v>76</v>
      </c>
      <c r="C200" s="40" t="s">
        <v>76</v>
      </c>
      <c r="D200" s="40">
        <v>1103300</v>
      </c>
      <c r="E200" s="40">
        <v>1103326</v>
      </c>
      <c r="F200" s="40">
        <v>1.6E-2</v>
      </c>
      <c r="G200" s="41" t="s">
        <v>54</v>
      </c>
      <c r="H200" s="41">
        <v>0.155</v>
      </c>
      <c r="I200" s="40">
        <v>1.0500000000000001E-2</v>
      </c>
      <c r="J200" s="40">
        <v>6.7999999999999996E-3</v>
      </c>
      <c r="K200" s="40">
        <v>0</v>
      </c>
      <c r="L200" s="40">
        <v>1.7600000000000001E-2</v>
      </c>
      <c r="M200" s="40">
        <v>6.4999999999999997E-3</v>
      </c>
      <c r="N200" s="40">
        <v>0</v>
      </c>
    </row>
    <row r="201" spans="1:14" x14ac:dyDescent="0.25">
      <c r="A201" s="38">
        <v>9824</v>
      </c>
      <c r="B201" s="38" t="s">
        <v>76</v>
      </c>
      <c r="C201" s="38" t="s">
        <v>76</v>
      </c>
      <c r="D201" s="38">
        <v>1103326</v>
      </c>
      <c r="E201" s="38" t="s">
        <v>207</v>
      </c>
      <c r="F201" s="38">
        <v>6.9999999999999999E-4</v>
      </c>
      <c r="G201" s="39" t="s">
        <v>54</v>
      </c>
      <c r="H201" s="39">
        <v>0.155</v>
      </c>
      <c r="I201" s="38">
        <v>5.0000000000000001E-4</v>
      </c>
      <c r="J201" s="38">
        <v>2.9999999999999997E-4</v>
      </c>
      <c r="K201" s="38">
        <v>0</v>
      </c>
      <c r="L201" s="38">
        <v>8.0000000000000004E-4</v>
      </c>
      <c r="M201" s="38">
        <v>2.9999999999999997E-4</v>
      </c>
      <c r="N201" s="38">
        <v>0</v>
      </c>
    </row>
    <row r="202" spans="1:14" x14ac:dyDescent="0.25">
      <c r="A202" s="40">
        <v>9839</v>
      </c>
      <c r="B202" s="40" t="s">
        <v>76</v>
      </c>
      <c r="C202" s="40" t="s">
        <v>76</v>
      </c>
      <c r="D202" s="40" t="s">
        <v>208</v>
      </c>
      <c r="E202" s="40">
        <v>1154389</v>
      </c>
      <c r="F202" s="40">
        <v>1.6500000000000001E-2</v>
      </c>
      <c r="G202" s="41" t="s">
        <v>54</v>
      </c>
      <c r="H202" s="41">
        <v>0.155</v>
      </c>
      <c r="I202" s="40">
        <v>1.0800000000000001E-2</v>
      </c>
      <c r="J202" s="40">
        <v>7.0000000000000001E-3</v>
      </c>
      <c r="K202" s="40">
        <v>0</v>
      </c>
      <c r="L202" s="40">
        <v>1.8100000000000002E-2</v>
      </c>
      <c r="M202" s="40">
        <v>6.7000000000000002E-3</v>
      </c>
      <c r="N202" s="40">
        <v>0</v>
      </c>
    </row>
    <row r="203" spans="1:14" x14ac:dyDescent="0.25">
      <c r="A203" s="38">
        <v>9840</v>
      </c>
      <c r="B203" s="38" t="s">
        <v>76</v>
      </c>
      <c r="C203" s="38" t="s">
        <v>76</v>
      </c>
      <c r="D203" s="38" t="s">
        <v>209</v>
      </c>
      <c r="E203" s="38">
        <v>1154371</v>
      </c>
      <c r="F203" s="38">
        <v>1.6500000000000001E-2</v>
      </c>
      <c r="G203" s="39" t="s">
        <v>54</v>
      </c>
      <c r="H203" s="39">
        <v>0.155</v>
      </c>
      <c r="I203" s="38">
        <v>1.0800000000000001E-2</v>
      </c>
      <c r="J203" s="38">
        <v>7.0000000000000001E-3</v>
      </c>
      <c r="K203" s="38">
        <v>0</v>
      </c>
      <c r="L203" s="38">
        <v>1.8100000000000002E-2</v>
      </c>
      <c r="M203" s="38">
        <v>6.7000000000000002E-3</v>
      </c>
      <c r="N203" s="38">
        <v>0</v>
      </c>
    </row>
    <row r="204" spans="1:14" x14ac:dyDescent="0.25">
      <c r="A204" s="40">
        <v>9841</v>
      </c>
      <c r="B204" s="40" t="s">
        <v>76</v>
      </c>
      <c r="C204" s="40" t="s">
        <v>76</v>
      </c>
      <c r="D204" s="40">
        <v>1154389</v>
      </c>
      <c r="E204" s="40">
        <v>1154397</v>
      </c>
      <c r="F204" s="40">
        <v>4.1200000000000001E-2</v>
      </c>
      <c r="G204" s="41" t="s">
        <v>54</v>
      </c>
      <c r="H204" s="41">
        <v>0.155</v>
      </c>
      <c r="I204" s="40">
        <v>2.7099999999999999E-2</v>
      </c>
      <c r="J204" s="40">
        <v>1.7600000000000001E-2</v>
      </c>
      <c r="K204" s="40">
        <v>0</v>
      </c>
      <c r="L204" s="40">
        <v>4.5199999999999997E-2</v>
      </c>
      <c r="M204" s="40">
        <v>1.6799999999999999E-2</v>
      </c>
      <c r="N204" s="40">
        <v>0</v>
      </c>
    </row>
    <row r="205" spans="1:14" x14ac:dyDescent="0.25">
      <c r="A205" s="38">
        <v>9842</v>
      </c>
      <c r="B205" s="38" t="s">
        <v>76</v>
      </c>
      <c r="C205" s="38" t="s">
        <v>76</v>
      </c>
      <c r="D205" s="38">
        <v>1154371</v>
      </c>
      <c r="E205" s="38">
        <v>1154397</v>
      </c>
      <c r="F205" s="38">
        <v>0.04</v>
      </c>
      <c r="G205" s="39" t="s">
        <v>54</v>
      </c>
      <c r="H205" s="39">
        <v>0.155</v>
      </c>
      <c r="I205" s="38">
        <v>2.63E-2</v>
      </c>
      <c r="J205" s="38">
        <v>1.7100000000000001E-2</v>
      </c>
      <c r="K205" s="38">
        <v>0</v>
      </c>
      <c r="L205" s="38">
        <v>4.3799999999999999E-2</v>
      </c>
      <c r="M205" s="38">
        <v>1.6299999999999999E-2</v>
      </c>
      <c r="N205" s="38">
        <v>0</v>
      </c>
    </row>
    <row r="206" spans="1:14" x14ac:dyDescent="0.25">
      <c r="A206" s="40">
        <v>9843</v>
      </c>
      <c r="B206" s="40" t="s">
        <v>76</v>
      </c>
      <c r="C206" s="40" t="s">
        <v>76</v>
      </c>
      <c r="D206" s="40">
        <v>1154397</v>
      </c>
      <c r="E206" s="40" t="s">
        <v>210</v>
      </c>
      <c r="F206" s="40">
        <v>4.1399999999999999E-2</v>
      </c>
      <c r="G206" s="41" t="s">
        <v>54</v>
      </c>
      <c r="H206" s="41">
        <v>0.155</v>
      </c>
      <c r="I206" s="40">
        <v>2.7199999999999998E-2</v>
      </c>
      <c r="J206" s="40">
        <v>1.7600000000000001E-2</v>
      </c>
      <c r="K206" s="40">
        <v>0</v>
      </c>
      <c r="L206" s="40">
        <v>4.53E-2</v>
      </c>
      <c r="M206" s="40">
        <v>1.6899999999999998E-2</v>
      </c>
      <c r="N206" s="40">
        <v>0</v>
      </c>
    </row>
    <row r="207" spans="1:14" x14ac:dyDescent="0.25">
      <c r="A207" s="38">
        <v>9844</v>
      </c>
      <c r="B207" s="38" t="s">
        <v>76</v>
      </c>
      <c r="C207" s="38" t="s">
        <v>76</v>
      </c>
      <c r="D207" s="38">
        <v>1154397</v>
      </c>
      <c r="E207" s="38" t="s">
        <v>211</v>
      </c>
      <c r="F207" s="38">
        <v>6.3799999999999996E-2</v>
      </c>
      <c r="G207" s="39" t="s">
        <v>54</v>
      </c>
      <c r="H207" s="39">
        <v>0.155</v>
      </c>
      <c r="I207" s="38">
        <v>4.19E-2</v>
      </c>
      <c r="J207" s="38">
        <v>2.7199999999999998E-2</v>
      </c>
      <c r="K207" s="38">
        <v>0</v>
      </c>
      <c r="L207" s="38">
        <v>6.9800000000000001E-2</v>
      </c>
      <c r="M207" s="38">
        <v>2.5999999999999999E-2</v>
      </c>
      <c r="N207" s="38">
        <v>0</v>
      </c>
    </row>
    <row r="208" spans="1:14" x14ac:dyDescent="0.25">
      <c r="A208" s="40">
        <v>9944</v>
      </c>
      <c r="B208" s="40" t="s">
        <v>76</v>
      </c>
      <c r="C208" s="40" t="s">
        <v>76</v>
      </c>
      <c r="D208" s="40" t="s">
        <v>212</v>
      </c>
      <c r="E208" s="40">
        <v>1154524</v>
      </c>
      <c r="F208" s="40">
        <v>1.6500000000000001E-2</v>
      </c>
      <c r="G208" s="41" t="s">
        <v>54</v>
      </c>
      <c r="H208" s="41">
        <v>0.155</v>
      </c>
      <c r="I208" s="40">
        <v>1.0800000000000001E-2</v>
      </c>
      <c r="J208" s="40">
        <v>7.0000000000000001E-3</v>
      </c>
      <c r="K208" s="40">
        <v>0</v>
      </c>
      <c r="L208" s="40">
        <v>1.8100000000000002E-2</v>
      </c>
      <c r="M208" s="40">
        <v>6.7000000000000002E-3</v>
      </c>
      <c r="N208" s="40">
        <v>0</v>
      </c>
    </row>
    <row r="209" spans="1:14" x14ac:dyDescent="0.25">
      <c r="A209" s="38">
        <v>9945</v>
      </c>
      <c r="B209" s="38" t="s">
        <v>76</v>
      </c>
      <c r="C209" s="38" t="s">
        <v>76</v>
      </c>
      <c r="D209" s="38">
        <v>1154524</v>
      </c>
      <c r="E209" s="38">
        <v>1154532</v>
      </c>
      <c r="F209" s="38">
        <v>3.2199999999999999E-2</v>
      </c>
      <c r="G209" s="39" t="s">
        <v>54</v>
      </c>
      <c r="H209" s="39">
        <v>0.155</v>
      </c>
      <c r="I209" s="38">
        <v>2.12E-2</v>
      </c>
      <c r="J209" s="38">
        <v>1.38E-2</v>
      </c>
      <c r="K209" s="38">
        <v>0</v>
      </c>
      <c r="L209" s="38">
        <v>3.5299999999999998E-2</v>
      </c>
      <c r="M209" s="38">
        <v>1.32E-2</v>
      </c>
      <c r="N209" s="38">
        <v>0</v>
      </c>
    </row>
    <row r="210" spans="1:14" x14ac:dyDescent="0.25">
      <c r="A210" s="40">
        <v>9946</v>
      </c>
      <c r="B210" s="40" t="s">
        <v>76</v>
      </c>
      <c r="C210" s="40" t="s">
        <v>76</v>
      </c>
      <c r="D210" s="40">
        <v>1154532</v>
      </c>
      <c r="E210" s="40" t="s">
        <v>213</v>
      </c>
      <c r="F210" s="40">
        <v>1.8700000000000001E-2</v>
      </c>
      <c r="G210" s="41" t="s">
        <v>54</v>
      </c>
      <c r="H210" s="41">
        <v>0.155</v>
      </c>
      <c r="I210" s="40">
        <v>1.23E-2</v>
      </c>
      <c r="J210" s="40">
        <v>8.0000000000000002E-3</v>
      </c>
      <c r="K210" s="40">
        <v>0</v>
      </c>
      <c r="L210" s="40">
        <v>2.0500000000000001E-2</v>
      </c>
      <c r="M210" s="40">
        <v>7.6E-3</v>
      </c>
      <c r="N210" s="40">
        <v>0</v>
      </c>
    </row>
    <row r="211" spans="1:14" x14ac:dyDescent="0.25">
      <c r="A211" s="38">
        <v>9949</v>
      </c>
      <c r="B211" s="38" t="s">
        <v>76</v>
      </c>
      <c r="C211" s="38" t="s">
        <v>76</v>
      </c>
      <c r="D211" s="38" t="s">
        <v>214</v>
      </c>
      <c r="E211" s="38">
        <v>1103245</v>
      </c>
      <c r="F211" s="38">
        <v>1.6500000000000001E-2</v>
      </c>
      <c r="G211" s="39" t="s">
        <v>54</v>
      </c>
      <c r="H211" s="39">
        <v>0.155</v>
      </c>
      <c r="I211" s="38">
        <v>1.0800000000000001E-2</v>
      </c>
      <c r="J211" s="38">
        <v>7.0000000000000001E-3</v>
      </c>
      <c r="K211" s="38">
        <v>0</v>
      </c>
      <c r="L211" s="38">
        <v>1.8100000000000002E-2</v>
      </c>
      <c r="M211" s="38">
        <v>6.7000000000000002E-3</v>
      </c>
      <c r="N211" s="38">
        <v>0</v>
      </c>
    </row>
    <row r="212" spans="1:14" x14ac:dyDescent="0.25">
      <c r="A212" s="40">
        <v>9950</v>
      </c>
      <c r="B212" s="40" t="s">
        <v>76</v>
      </c>
      <c r="C212" s="40" t="s">
        <v>76</v>
      </c>
      <c r="D212" s="40">
        <v>1103245</v>
      </c>
      <c r="E212" s="40" t="s">
        <v>215</v>
      </c>
      <c r="F212" s="40">
        <v>3.1300000000000001E-2</v>
      </c>
      <c r="G212" s="41" t="s">
        <v>54</v>
      </c>
      <c r="H212" s="41">
        <v>0.155</v>
      </c>
      <c r="I212" s="40">
        <v>2.0500000000000001E-2</v>
      </c>
      <c r="J212" s="40">
        <v>1.3299999999999999E-2</v>
      </c>
      <c r="K212" s="40">
        <v>0</v>
      </c>
      <c r="L212" s="40">
        <v>3.4299999999999997E-2</v>
      </c>
      <c r="M212" s="40">
        <v>1.2800000000000001E-2</v>
      </c>
      <c r="N212" s="40">
        <v>0</v>
      </c>
    </row>
    <row r="213" spans="1:14" x14ac:dyDescent="0.25">
      <c r="A213" s="38">
        <v>9966</v>
      </c>
      <c r="B213" s="38" t="s">
        <v>76</v>
      </c>
      <c r="C213" s="38" t="s">
        <v>76</v>
      </c>
      <c r="D213" s="38" t="s">
        <v>216</v>
      </c>
      <c r="E213" s="38">
        <v>1103351</v>
      </c>
      <c r="F213" s="38">
        <v>1.6500000000000001E-2</v>
      </c>
      <c r="G213" s="39" t="s">
        <v>54</v>
      </c>
      <c r="H213" s="39">
        <v>0.155</v>
      </c>
      <c r="I213" s="38">
        <v>1.0800000000000001E-2</v>
      </c>
      <c r="J213" s="38">
        <v>7.0000000000000001E-3</v>
      </c>
      <c r="K213" s="38">
        <v>0</v>
      </c>
      <c r="L213" s="38">
        <v>1.8100000000000002E-2</v>
      </c>
      <c r="M213" s="38">
        <v>6.7000000000000002E-3</v>
      </c>
      <c r="N213" s="38">
        <v>0</v>
      </c>
    </row>
    <row r="214" spans="1:14" x14ac:dyDescent="0.25">
      <c r="A214" s="40">
        <v>9967</v>
      </c>
      <c r="B214" s="40" t="s">
        <v>76</v>
      </c>
      <c r="C214" s="40" t="s">
        <v>76</v>
      </c>
      <c r="D214" s="40">
        <v>1103351</v>
      </c>
      <c r="E214" s="40" t="s">
        <v>217</v>
      </c>
      <c r="F214" s="40">
        <v>2.2599999999999999E-2</v>
      </c>
      <c r="G214" s="41" t="s">
        <v>54</v>
      </c>
      <c r="H214" s="41">
        <v>0.155</v>
      </c>
      <c r="I214" s="40">
        <v>1.4800000000000001E-2</v>
      </c>
      <c r="J214" s="40">
        <v>9.5999999999999992E-3</v>
      </c>
      <c r="K214" s="40">
        <v>0</v>
      </c>
      <c r="L214" s="40">
        <v>2.47E-2</v>
      </c>
      <c r="M214" s="40">
        <v>9.1999999999999998E-3</v>
      </c>
      <c r="N214" s="40">
        <v>0</v>
      </c>
    </row>
    <row r="215" spans="1:14" x14ac:dyDescent="0.25">
      <c r="A215" s="38">
        <v>9989</v>
      </c>
      <c r="B215" s="38" t="s">
        <v>76</v>
      </c>
      <c r="C215" s="38" t="s">
        <v>76</v>
      </c>
      <c r="D215" s="38" t="s">
        <v>218</v>
      </c>
      <c r="E215" s="38">
        <v>1103393</v>
      </c>
      <c r="F215" s="38">
        <v>1.6500000000000001E-2</v>
      </c>
      <c r="G215" s="39" t="s">
        <v>54</v>
      </c>
      <c r="H215" s="39">
        <v>0.155</v>
      </c>
      <c r="I215" s="38">
        <v>1.0800000000000001E-2</v>
      </c>
      <c r="J215" s="38">
        <v>7.0000000000000001E-3</v>
      </c>
      <c r="K215" s="38">
        <v>0</v>
      </c>
      <c r="L215" s="38">
        <v>1.8100000000000002E-2</v>
      </c>
      <c r="M215" s="38">
        <v>6.7000000000000002E-3</v>
      </c>
      <c r="N215" s="38">
        <v>0</v>
      </c>
    </row>
    <row r="216" spans="1:14" x14ac:dyDescent="0.25">
      <c r="A216" s="40">
        <v>9990</v>
      </c>
      <c r="B216" s="40" t="s">
        <v>76</v>
      </c>
      <c r="C216" s="40" t="s">
        <v>76</v>
      </c>
      <c r="D216" s="40">
        <v>1103393</v>
      </c>
      <c r="E216" s="40">
        <v>1667262</v>
      </c>
      <c r="F216" s="40">
        <v>2.5000000000000001E-2</v>
      </c>
      <c r="G216" s="41" t="s">
        <v>54</v>
      </c>
      <c r="H216" s="41">
        <v>0.155</v>
      </c>
      <c r="I216" s="40">
        <v>1.6400000000000001E-2</v>
      </c>
      <c r="J216" s="40">
        <v>1.0699999999999999E-2</v>
      </c>
      <c r="K216" s="40">
        <v>0</v>
      </c>
      <c r="L216" s="40">
        <v>2.7400000000000001E-2</v>
      </c>
      <c r="M216" s="40">
        <v>1.0200000000000001E-2</v>
      </c>
      <c r="N216" s="40">
        <v>0</v>
      </c>
    </row>
    <row r="217" spans="1:14" x14ac:dyDescent="0.25">
      <c r="A217" s="38">
        <v>9991</v>
      </c>
      <c r="B217" s="38" t="s">
        <v>76</v>
      </c>
      <c r="C217" s="38" t="s">
        <v>76</v>
      </c>
      <c r="D217" s="38">
        <v>1667262</v>
      </c>
      <c r="E217" s="38" t="s">
        <v>219</v>
      </c>
      <c r="F217" s="38">
        <v>3.5000000000000001E-3</v>
      </c>
      <c r="G217" s="39" t="s">
        <v>54</v>
      </c>
      <c r="H217" s="39">
        <v>0.155</v>
      </c>
      <c r="I217" s="38">
        <v>2.3E-3</v>
      </c>
      <c r="J217" s="38">
        <v>1.5E-3</v>
      </c>
      <c r="K217" s="38">
        <v>0</v>
      </c>
      <c r="L217" s="38">
        <v>3.8999999999999998E-3</v>
      </c>
      <c r="M217" s="38">
        <v>1.4E-3</v>
      </c>
      <c r="N217" s="38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D9B1-ECD2-47FE-BD44-EBCC95225E08}">
  <dimension ref="A1:S53"/>
  <sheetViews>
    <sheetView tabSelected="1" zoomScale="70" zoomScaleNormal="70" workbookViewId="0">
      <selection activeCell="K20" sqref="K20"/>
    </sheetView>
  </sheetViews>
  <sheetFormatPr baseColWidth="10" defaultRowHeight="15" x14ac:dyDescent="0.25"/>
  <cols>
    <col min="1" max="1" width="16.140625" bestFit="1" customWidth="1"/>
    <col min="2" max="2" width="6.42578125" bestFit="1" customWidth="1"/>
    <col min="3" max="3" width="8.85546875" bestFit="1" customWidth="1"/>
    <col min="4" max="4" width="11" bestFit="1" customWidth="1"/>
    <col min="5" max="6" width="9.5703125" customWidth="1"/>
    <col min="11" max="11" width="14" style="21" bestFit="1" customWidth="1"/>
    <col min="12" max="12" width="9.140625" customWidth="1"/>
    <col min="13" max="13" width="13.42578125" customWidth="1"/>
    <col min="15" max="15" width="44.28515625" bestFit="1" customWidth="1"/>
    <col min="19" max="19" width="19.42578125" bestFit="1" customWidth="1"/>
  </cols>
  <sheetData>
    <row r="1" spans="1:19" ht="31.5" customHeight="1" x14ac:dyDescent="0.25">
      <c r="A1" s="37" t="s">
        <v>29</v>
      </c>
      <c r="B1" s="37" t="s">
        <v>30</v>
      </c>
      <c r="C1" s="37" t="s">
        <v>46</v>
      </c>
      <c r="D1" s="37" t="s">
        <v>46</v>
      </c>
      <c r="E1" s="37" t="s">
        <v>47</v>
      </c>
      <c r="F1" s="37" t="s">
        <v>48</v>
      </c>
      <c r="H1" s="12" t="s">
        <v>0</v>
      </c>
      <c r="I1" s="13" t="s">
        <v>1</v>
      </c>
      <c r="J1" s="13" t="s">
        <v>2</v>
      </c>
      <c r="K1" s="18" t="s">
        <v>60</v>
      </c>
      <c r="L1" s="13" t="s">
        <v>58</v>
      </c>
      <c r="M1" s="14" t="s">
        <v>4</v>
      </c>
    </row>
    <row r="2" spans="1:19" x14ac:dyDescent="0.25">
      <c r="A2" s="37"/>
      <c r="B2" s="37"/>
      <c r="C2" s="37" t="s">
        <v>45</v>
      </c>
      <c r="D2" s="37" t="s">
        <v>40</v>
      </c>
      <c r="E2" s="37" t="s">
        <v>49</v>
      </c>
      <c r="F2" s="37"/>
      <c r="H2" s="1" t="s">
        <v>74</v>
      </c>
      <c r="I2" s="2">
        <v>13.8</v>
      </c>
      <c r="J2" s="2" t="s">
        <v>73</v>
      </c>
      <c r="K2" s="19">
        <v>45370</v>
      </c>
      <c r="L2" s="2">
        <f>M2/(SQRT(3)*I2)*1000</f>
        <v>34.988890607052305</v>
      </c>
      <c r="M2" s="2">
        <v>0.83631500000000003</v>
      </c>
      <c r="O2" s="5" t="s">
        <v>3</v>
      </c>
      <c r="P2" s="11" t="s">
        <v>4</v>
      </c>
      <c r="Q2" s="31" t="s">
        <v>5</v>
      </c>
      <c r="R2" s="32"/>
      <c r="S2" s="32"/>
    </row>
    <row r="3" spans="1:19" x14ac:dyDescent="0.25">
      <c r="A3" s="38" t="s">
        <v>220</v>
      </c>
      <c r="B3" s="38" t="s">
        <v>76</v>
      </c>
      <c r="C3" s="38">
        <v>1067052</v>
      </c>
      <c r="D3" s="38" t="s">
        <v>221</v>
      </c>
      <c r="E3" s="38">
        <v>0.1125</v>
      </c>
      <c r="F3" s="38">
        <v>0.9</v>
      </c>
      <c r="H3" s="3" t="s">
        <v>74</v>
      </c>
      <c r="I3" s="4">
        <v>13.8</v>
      </c>
      <c r="J3" s="4" t="s">
        <v>73</v>
      </c>
      <c r="K3" s="20">
        <v>45370.041666666664</v>
      </c>
      <c r="L3" s="4">
        <f t="shared" ref="L3:L25" si="0">M3/(SQRT(3)*I3)*1000</f>
        <v>33.255542853226558</v>
      </c>
      <c r="M3" s="4">
        <v>0.79488400000000003</v>
      </c>
      <c r="O3" s="6">
        <v>9</v>
      </c>
      <c r="P3" s="7">
        <f>M11</f>
        <v>1.459139</v>
      </c>
    </row>
    <row r="4" spans="1:19" x14ac:dyDescent="0.25">
      <c r="A4" s="40" t="s">
        <v>222</v>
      </c>
      <c r="B4" s="40" t="s">
        <v>76</v>
      </c>
      <c r="C4" s="40">
        <v>1067036</v>
      </c>
      <c r="D4" s="40" t="s">
        <v>223</v>
      </c>
      <c r="E4" s="40">
        <v>7.4999999999999997E-2</v>
      </c>
      <c r="F4" s="40">
        <v>0.9</v>
      </c>
      <c r="H4" s="1" t="s">
        <v>74</v>
      </c>
      <c r="I4" s="2">
        <v>13.8</v>
      </c>
      <c r="J4" s="2" t="s">
        <v>73</v>
      </c>
      <c r="K4" s="19">
        <v>45370.083333333336</v>
      </c>
      <c r="L4" s="2">
        <f t="shared" si="0"/>
        <v>31.864212378431617</v>
      </c>
      <c r="M4" s="2">
        <v>0.76162799999999997</v>
      </c>
      <c r="O4" s="6">
        <v>12</v>
      </c>
      <c r="P4" s="8">
        <f>M14</f>
        <v>1.6828559999999999</v>
      </c>
    </row>
    <row r="5" spans="1:19" x14ac:dyDescent="0.25">
      <c r="A5" s="38" t="s">
        <v>224</v>
      </c>
      <c r="B5" s="38" t="s">
        <v>76</v>
      </c>
      <c r="C5" s="38">
        <v>1067087</v>
      </c>
      <c r="D5" s="38" t="s">
        <v>225</v>
      </c>
      <c r="E5" s="38">
        <v>7.4999999999999997E-2</v>
      </c>
      <c r="F5" s="38">
        <v>0.9</v>
      </c>
      <c r="H5" s="3" t="s">
        <v>74</v>
      </c>
      <c r="I5" s="4">
        <v>13.8</v>
      </c>
      <c r="J5" s="4" t="s">
        <v>73</v>
      </c>
      <c r="K5" s="20">
        <v>45370.125</v>
      </c>
      <c r="L5" s="4">
        <f t="shared" si="0"/>
        <v>28.464581543353368</v>
      </c>
      <c r="M5" s="4">
        <v>0.680369</v>
      </c>
      <c r="O5" s="6">
        <v>15</v>
      </c>
      <c r="P5" s="7">
        <f>M17</f>
        <v>1.638498</v>
      </c>
    </row>
    <row r="6" spans="1:19" x14ac:dyDescent="0.25">
      <c r="A6" s="40" t="s">
        <v>226</v>
      </c>
      <c r="B6" s="40" t="s">
        <v>76</v>
      </c>
      <c r="C6" s="40">
        <v>1067133</v>
      </c>
      <c r="D6" s="40" t="s">
        <v>227</v>
      </c>
      <c r="E6" s="40">
        <v>0.1125</v>
      </c>
      <c r="F6" s="40">
        <v>0.9</v>
      </c>
      <c r="H6" s="1" t="s">
        <v>74</v>
      </c>
      <c r="I6" s="2">
        <v>13.8</v>
      </c>
      <c r="J6" s="2" t="s">
        <v>73</v>
      </c>
      <c r="K6" s="19">
        <v>45370.166666666664</v>
      </c>
      <c r="L6" s="2">
        <f t="shared" si="0"/>
        <v>26.351856090903592</v>
      </c>
      <c r="M6" s="2">
        <v>0.62987000000000004</v>
      </c>
    </row>
    <row r="7" spans="1:19" x14ac:dyDescent="0.25">
      <c r="A7" s="38" t="s">
        <v>228</v>
      </c>
      <c r="B7" s="38" t="s">
        <v>76</v>
      </c>
      <c r="C7" s="38">
        <v>1101471</v>
      </c>
      <c r="D7" s="38" t="s">
        <v>229</v>
      </c>
      <c r="E7" s="38">
        <v>0.1125</v>
      </c>
      <c r="F7" s="38">
        <v>0.9</v>
      </c>
      <c r="H7" s="3" t="s">
        <v>74</v>
      </c>
      <c r="I7" s="4">
        <v>13.8</v>
      </c>
      <c r="J7" s="4" t="s">
        <v>73</v>
      </c>
      <c r="K7" s="20">
        <v>45370.208333333336</v>
      </c>
      <c r="L7" s="4">
        <f t="shared" si="0"/>
        <v>26.778216713607321</v>
      </c>
      <c r="M7" s="4">
        <v>0.64006099999999999</v>
      </c>
      <c r="O7" s="10" t="s">
        <v>72</v>
      </c>
      <c r="P7" s="10">
        <v>3272966</v>
      </c>
    </row>
    <row r="8" spans="1:19" x14ac:dyDescent="0.25">
      <c r="A8" s="40" t="s">
        <v>230</v>
      </c>
      <c r="B8" s="40" t="s">
        <v>76</v>
      </c>
      <c r="C8" s="40">
        <v>1101307</v>
      </c>
      <c r="D8" s="40" t="s">
        <v>231</v>
      </c>
      <c r="E8" s="40">
        <v>0.1125</v>
      </c>
      <c r="F8" s="40">
        <v>0.9</v>
      </c>
      <c r="H8" s="1" t="s">
        <v>74</v>
      </c>
      <c r="I8" s="2">
        <v>13.8</v>
      </c>
      <c r="J8" s="2" t="s">
        <v>73</v>
      </c>
      <c r="K8" s="19">
        <v>45370.25</v>
      </c>
      <c r="L8" s="2">
        <f t="shared" si="0"/>
        <v>29.724251054587459</v>
      </c>
      <c r="M8" s="2">
        <v>0.71047800000000005</v>
      </c>
    </row>
    <row r="9" spans="1:19" x14ac:dyDescent="0.25">
      <c r="A9" s="38" t="s">
        <v>232</v>
      </c>
      <c r="B9" s="38" t="s">
        <v>76</v>
      </c>
      <c r="C9" s="38">
        <v>1101315</v>
      </c>
      <c r="D9" s="38" t="s">
        <v>233</v>
      </c>
      <c r="E9" s="38">
        <v>7.4999999999999997E-2</v>
      </c>
      <c r="F9" s="38">
        <v>0.9</v>
      </c>
      <c r="H9" s="3" t="s">
        <v>74</v>
      </c>
      <c r="I9" s="4">
        <v>13.8</v>
      </c>
      <c r="J9" s="4" t="s">
        <v>73</v>
      </c>
      <c r="K9" s="20">
        <v>45370.291666666664</v>
      </c>
      <c r="L9" s="4">
        <f t="shared" si="0"/>
        <v>35.617114639092264</v>
      </c>
      <c r="M9" s="4">
        <v>0.85133099999999995</v>
      </c>
    </row>
    <row r="10" spans="1:19" x14ac:dyDescent="0.25">
      <c r="A10" s="40" t="s">
        <v>234</v>
      </c>
      <c r="B10" s="40" t="s">
        <v>76</v>
      </c>
      <c r="C10" s="40">
        <v>1101455</v>
      </c>
      <c r="D10" s="40" t="s">
        <v>235</v>
      </c>
      <c r="E10" s="40">
        <v>0.22500000000000001</v>
      </c>
      <c r="F10" s="40">
        <v>0.9</v>
      </c>
      <c r="H10" s="1" t="s">
        <v>74</v>
      </c>
      <c r="I10" s="2">
        <v>13.8</v>
      </c>
      <c r="J10" s="2" t="s">
        <v>73</v>
      </c>
      <c r="K10" s="19">
        <v>45370.333333333336</v>
      </c>
      <c r="L10" s="2">
        <f t="shared" si="0"/>
        <v>50.589564272172439</v>
      </c>
      <c r="M10" s="2">
        <v>1.2092069999999999</v>
      </c>
    </row>
    <row r="11" spans="1:19" x14ac:dyDescent="0.25">
      <c r="A11" s="38" t="s">
        <v>236</v>
      </c>
      <c r="B11" s="38" t="s">
        <v>76</v>
      </c>
      <c r="C11" s="38">
        <v>1154176</v>
      </c>
      <c r="D11" s="38" t="s">
        <v>237</v>
      </c>
      <c r="E11" s="38">
        <v>0.1125</v>
      </c>
      <c r="F11" s="38">
        <v>0.9</v>
      </c>
      <c r="H11" s="3" t="s">
        <v>74</v>
      </c>
      <c r="I11" s="4">
        <v>13.8</v>
      </c>
      <c r="J11" s="4" t="s">
        <v>73</v>
      </c>
      <c r="K11" s="20">
        <v>45370.375</v>
      </c>
      <c r="L11" s="4">
        <f t="shared" si="0"/>
        <v>61.04596336486096</v>
      </c>
      <c r="M11" s="4">
        <v>1.459139</v>
      </c>
      <c r="O11" s="16" t="s">
        <v>75</v>
      </c>
    </row>
    <row r="12" spans="1:19" x14ac:dyDescent="0.25">
      <c r="A12" s="40" t="s">
        <v>238</v>
      </c>
      <c r="B12" s="40" t="s">
        <v>76</v>
      </c>
      <c r="C12" s="40">
        <v>1154087</v>
      </c>
      <c r="D12" s="40" t="s">
        <v>239</v>
      </c>
      <c r="E12" s="40">
        <v>0.1125</v>
      </c>
      <c r="F12" s="40">
        <v>0.9</v>
      </c>
      <c r="H12" s="1" t="s">
        <v>74</v>
      </c>
      <c r="I12" s="2">
        <v>13.8</v>
      </c>
      <c r="J12" s="2" t="s">
        <v>73</v>
      </c>
      <c r="K12" s="19">
        <v>45370.416666666664</v>
      </c>
      <c r="L12" s="2">
        <f t="shared" si="0"/>
        <v>66.214587057341006</v>
      </c>
      <c r="M12" s="2">
        <v>1.582681</v>
      </c>
      <c r="O12" s="9" t="s">
        <v>6</v>
      </c>
      <c r="P12" s="9" t="s">
        <v>7</v>
      </c>
      <c r="Q12" s="9" t="s">
        <v>8</v>
      </c>
      <c r="R12" s="9" t="s">
        <v>9</v>
      </c>
      <c r="S12" s="9" t="s">
        <v>10</v>
      </c>
    </row>
    <row r="13" spans="1:19" x14ac:dyDescent="0.25">
      <c r="A13" s="38" t="s">
        <v>240</v>
      </c>
      <c r="B13" s="38" t="s">
        <v>76</v>
      </c>
      <c r="C13" s="38">
        <v>1154435</v>
      </c>
      <c r="D13" s="38" t="s">
        <v>241</v>
      </c>
      <c r="E13" s="38">
        <v>7.4999999999999997E-2</v>
      </c>
      <c r="F13" s="38">
        <v>0.9</v>
      </c>
      <c r="H13" s="3" t="s">
        <v>74</v>
      </c>
      <c r="I13" s="4">
        <v>13.8</v>
      </c>
      <c r="J13" s="4" t="s">
        <v>73</v>
      </c>
      <c r="K13" s="20">
        <v>45370.458333333336</v>
      </c>
      <c r="L13" s="4">
        <f t="shared" si="0"/>
        <v>69.69939797561274</v>
      </c>
      <c r="M13" s="4">
        <v>1.6659759999999999</v>
      </c>
      <c r="O13" s="9" t="s">
        <v>11</v>
      </c>
      <c r="P13" s="39">
        <v>654.48800000000006</v>
      </c>
      <c r="Q13" s="39">
        <v>27.382000000000001</v>
      </c>
      <c r="R13" s="39">
        <v>70.400999999999996</v>
      </c>
      <c r="S13" s="39">
        <v>6.8000000000000005E-2</v>
      </c>
    </row>
    <row r="14" spans="1:19" x14ac:dyDescent="0.25">
      <c r="A14" s="40" t="s">
        <v>242</v>
      </c>
      <c r="B14" s="40" t="s">
        <v>76</v>
      </c>
      <c r="C14" s="40">
        <v>1154281</v>
      </c>
      <c r="D14" s="40" t="s">
        <v>243</v>
      </c>
      <c r="E14" s="40">
        <v>0.1125</v>
      </c>
      <c r="F14" s="40">
        <v>0.9</v>
      </c>
      <c r="H14" s="1" t="s">
        <v>74</v>
      </c>
      <c r="I14" s="2">
        <v>13.8</v>
      </c>
      <c r="J14" s="2" t="s">
        <v>73</v>
      </c>
      <c r="K14" s="19">
        <v>45370.5</v>
      </c>
      <c r="L14" s="2">
        <f t="shared" si="0"/>
        <v>70.405606130969332</v>
      </c>
      <c r="M14" s="2">
        <v>1.6828559999999999</v>
      </c>
      <c r="O14" s="9" t="s">
        <v>12</v>
      </c>
      <c r="P14" s="39">
        <v>239.68100000000001</v>
      </c>
      <c r="Q14" s="39">
        <v>30.082999999999998</v>
      </c>
      <c r="R14" s="39">
        <v>77.344999999999999</v>
      </c>
      <c r="S14" s="39">
        <v>6.8000000000000005E-2</v>
      </c>
    </row>
    <row r="15" spans="1:19" x14ac:dyDescent="0.25">
      <c r="A15" s="38" t="s">
        <v>244</v>
      </c>
      <c r="B15" s="38" t="s">
        <v>76</v>
      </c>
      <c r="C15" s="38">
        <v>1102982</v>
      </c>
      <c r="D15" s="38" t="s">
        <v>245</v>
      </c>
      <c r="E15" s="38">
        <v>0.05</v>
      </c>
      <c r="F15" s="38">
        <v>0.9</v>
      </c>
      <c r="H15" s="3" t="s">
        <v>74</v>
      </c>
      <c r="I15" s="4">
        <v>13.8</v>
      </c>
      <c r="J15" s="4" t="s">
        <v>73</v>
      </c>
      <c r="K15" s="20">
        <v>45370.541666666664</v>
      </c>
      <c r="L15" s="4">
        <f t="shared" si="0"/>
        <v>67.383972374306182</v>
      </c>
      <c r="M15" s="4">
        <v>1.6106320000000001</v>
      </c>
    </row>
    <row r="16" spans="1:19" x14ac:dyDescent="0.25">
      <c r="A16" s="40" t="s">
        <v>246</v>
      </c>
      <c r="B16" s="40" t="s">
        <v>76</v>
      </c>
      <c r="C16" s="40">
        <v>1154494</v>
      </c>
      <c r="D16" s="40" t="s">
        <v>247</v>
      </c>
      <c r="E16" s="40">
        <v>7.4999999999999997E-2</v>
      </c>
      <c r="F16" s="40">
        <v>0.9</v>
      </c>
      <c r="H16" s="1" t="s">
        <v>74</v>
      </c>
      <c r="I16" s="2">
        <v>13.8</v>
      </c>
      <c r="J16" s="2" t="s">
        <v>73</v>
      </c>
      <c r="K16" s="19">
        <v>45370.583333333336</v>
      </c>
      <c r="L16" s="2">
        <f t="shared" si="0"/>
        <v>64.579012316493248</v>
      </c>
      <c r="M16" s="2">
        <v>1.543587</v>
      </c>
    </row>
    <row r="17" spans="1:13" x14ac:dyDescent="0.25">
      <c r="A17" s="38" t="s">
        <v>248</v>
      </c>
      <c r="B17" s="38" t="s">
        <v>76</v>
      </c>
      <c r="C17" s="38">
        <v>1154311</v>
      </c>
      <c r="D17" s="38" t="s">
        <v>249</v>
      </c>
      <c r="E17" s="38">
        <v>0.1125</v>
      </c>
      <c r="F17" s="38">
        <v>0.9</v>
      </c>
      <c r="H17" s="3" t="s">
        <v>74</v>
      </c>
      <c r="I17" s="4">
        <v>13.8</v>
      </c>
      <c r="J17" s="4" t="s">
        <v>73</v>
      </c>
      <c r="K17" s="20">
        <v>45370.625</v>
      </c>
      <c r="L17" s="4">
        <f t="shared" si="0"/>
        <v>68.549801548308949</v>
      </c>
      <c r="M17" s="4">
        <v>1.638498</v>
      </c>
    </row>
    <row r="18" spans="1:13" x14ac:dyDescent="0.25">
      <c r="A18" s="40" t="s">
        <v>250</v>
      </c>
      <c r="B18" s="40" t="s">
        <v>76</v>
      </c>
      <c r="C18" s="40">
        <v>1103318</v>
      </c>
      <c r="D18" s="40" t="s">
        <v>251</v>
      </c>
      <c r="E18" s="40">
        <v>4.4999999999999998E-2</v>
      </c>
      <c r="F18" s="40">
        <v>0.9</v>
      </c>
      <c r="H18" s="1" t="s">
        <v>74</v>
      </c>
      <c r="I18" s="2">
        <v>13.8</v>
      </c>
      <c r="J18" s="2" t="s">
        <v>73</v>
      </c>
      <c r="K18" s="19">
        <v>45370.666666666664</v>
      </c>
      <c r="L18" s="2">
        <f t="shared" si="0"/>
        <v>68.7837120812828</v>
      </c>
      <c r="M18" s="2">
        <v>1.6440889999999999</v>
      </c>
    </row>
    <row r="19" spans="1:13" x14ac:dyDescent="0.25">
      <c r="A19" s="38" t="s">
        <v>252</v>
      </c>
      <c r="B19" s="38" t="s">
        <v>76</v>
      </c>
      <c r="C19" s="38">
        <v>1154401</v>
      </c>
      <c r="D19" s="38" t="s">
        <v>253</v>
      </c>
      <c r="E19" s="38">
        <v>0.5</v>
      </c>
      <c r="F19" s="38">
        <v>0.9</v>
      </c>
      <c r="H19" s="3" t="s">
        <v>74</v>
      </c>
      <c r="I19" s="4">
        <v>13.8</v>
      </c>
      <c r="J19" s="4" t="s">
        <v>73</v>
      </c>
      <c r="K19" s="20">
        <v>45370.708333333336</v>
      </c>
      <c r="L19" s="4">
        <f t="shared" si="0"/>
        <v>67.10395749374922</v>
      </c>
      <c r="M19" s="4">
        <v>1.603939</v>
      </c>
    </row>
    <row r="20" spans="1:13" x14ac:dyDescent="0.25">
      <c r="A20" s="40" t="s">
        <v>254</v>
      </c>
      <c r="B20" s="40" t="s">
        <v>76</v>
      </c>
      <c r="C20" s="40">
        <v>1154541</v>
      </c>
      <c r="D20" s="40" t="s">
        <v>255</v>
      </c>
      <c r="E20" s="40">
        <v>0.1125</v>
      </c>
      <c r="F20" s="40">
        <v>0.9</v>
      </c>
      <c r="H20" s="1" t="s">
        <v>74</v>
      </c>
      <c r="I20" s="2">
        <v>13.8</v>
      </c>
      <c r="J20" s="2" t="s">
        <v>73</v>
      </c>
      <c r="K20" s="19">
        <v>45370.75</v>
      </c>
      <c r="L20" s="2">
        <f t="shared" si="0"/>
        <v>62.305758387023147</v>
      </c>
      <c r="M20" s="2">
        <v>1.4892510000000001</v>
      </c>
    </row>
    <row r="21" spans="1:13" x14ac:dyDescent="0.25">
      <c r="A21" s="38" t="s">
        <v>256</v>
      </c>
      <c r="B21" s="38" t="s">
        <v>76</v>
      </c>
      <c r="C21" s="38">
        <v>1103253</v>
      </c>
      <c r="D21" s="38" t="s">
        <v>257</v>
      </c>
      <c r="E21" s="38">
        <v>0.1125</v>
      </c>
      <c r="F21" s="38">
        <v>0.9</v>
      </c>
      <c r="H21" s="3" t="s">
        <v>74</v>
      </c>
      <c r="I21" s="4">
        <v>13.8</v>
      </c>
      <c r="J21" s="4" t="s">
        <v>73</v>
      </c>
      <c r="K21" s="20">
        <v>45370.791666666664</v>
      </c>
      <c r="L21" s="4">
        <f t="shared" si="0"/>
        <v>55.358351984750669</v>
      </c>
      <c r="M21" s="4">
        <v>1.3231919999999999</v>
      </c>
    </row>
    <row r="22" spans="1:13" x14ac:dyDescent="0.25">
      <c r="A22" s="40" t="s">
        <v>258</v>
      </c>
      <c r="B22" s="40" t="s">
        <v>76</v>
      </c>
      <c r="C22" s="40">
        <v>1103385</v>
      </c>
      <c r="D22" s="40" t="s">
        <v>259</v>
      </c>
      <c r="E22" s="40">
        <v>0.05</v>
      </c>
      <c r="F22" s="40">
        <v>0.9</v>
      </c>
      <c r="H22" s="1" t="s">
        <v>74</v>
      </c>
      <c r="I22" s="2">
        <v>13.8</v>
      </c>
      <c r="J22" s="2" t="s">
        <v>73</v>
      </c>
      <c r="K22" s="19">
        <v>45370.833333333336</v>
      </c>
      <c r="L22" s="2">
        <f t="shared" si="0"/>
        <v>49.479085417455032</v>
      </c>
      <c r="M22" s="2">
        <v>1.1826639999999999</v>
      </c>
    </row>
    <row r="23" spans="1:13" x14ac:dyDescent="0.25">
      <c r="A23" s="38" t="s">
        <v>260</v>
      </c>
      <c r="B23" s="38" t="s">
        <v>76</v>
      </c>
      <c r="C23" s="38">
        <v>1103407</v>
      </c>
      <c r="D23" s="38" t="s">
        <v>261</v>
      </c>
      <c r="E23" s="38">
        <v>0.15</v>
      </c>
      <c r="F23" s="38">
        <v>0.9</v>
      </c>
      <c r="H23" s="3" t="s">
        <v>74</v>
      </c>
      <c r="I23" s="4">
        <v>13.8</v>
      </c>
      <c r="J23" s="4" t="s">
        <v>73</v>
      </c>
      <c r="K23" s="20">
        <v>45370.875</v>
      </c>
      <c r="L23" s="4">
        <f t="shared" si="0"/>
        <v>44.822420800632479</v>
      </c>
      <c r="M23" s="4">
        <v>1.071359</v>
      </c>
    </row>
    <row r="24" spans="1:13" x14ac:dyDescent="0.25">
      <c r="A24" s="40" t="s">
        <v>262</v>
      </c>
      <c r="B24" s="40" t="s">
        <v>76</v>
      </c>
      <c r="C24" s="40">
        <v>1155911</v>
      </c>
      <c r="D24" s="40" t="s">
        <v>263</v>
      </c>
      <c r="E24" s="40">
        <v>0.2</v>
      </c>
      <c r="F24" s="40">
        <v>0.9</v>
      </c>
      <c r="H24" s="1" t="s">
        <v>74</v>
      </c>
      <c r="I24" s="2">
        <v>13.8</v>
      </c>
      <c r="J24" s="2" t="s">
        <v>73</v>
      </c>
      <c r="K24" s="19">
        <v>45370.916666666664</v>
      </c>
      <c r="L24" s="2">
        <f t="shared" si="0"/>
        <v>40.295408972521422</v>
      </c>
      <c r="M24" s="2">
        <v>0.96315300000000004</v>
      </c>
    </row>
    <row r="25" spans="1:13" x14ac:dyDescent="0.25">
      <c r="A25" s="38" t="s">
        <v>264</v>
      </c>
      <c r="B25" s="38" t="s">
        <v>76</v>
      </c>
      <c r="C25" s="38">
        <v>1155679</v>
      </c>
      <c r="D25" s="38" t="s">
        <v>265</v>
      </c>
      <c r="E25" s="38">
        <v>0.1125</v>
      </c>
      <c r="F25" s="38">
        <v>0.9</v>
      </c>
      <c r="H25" s="3" t="s">
        <v>74</v>
      </c>
      <c r="I25" s="4">
        <v>13.8</v>
      </c>
      <c r="J25" s="4" t="s">
        <v>73</v>
      </c>
      <c r="K25" s="20">
        <v>45370.958333333336</v>
      </c>
      <c r="L25" s="4">
        <f t="shared" si="0"/>
        <v>37.398867774182683</v>
      </c>
      <c r="M25" s="4">
        <v>0.89391900000000002</v>
      </c>
    </row>
    <row r="26" spans="1:13" x14ac:dyDescent="0.25">
      <c r="A26" s="40" t="s">
        <v>266</v>
      </c>
      <c r="B26" s="40" t="s">
        <v>76</v>
      </c>
      <c r="C26" s="40">
        <v>1157019</v>
      </c>
      <c r="D26" s="40" t="s">
        <v>267</v>
      </c>
      <c r="E26" s="40">
        <v>0.15</v>
      </c>
      <c r="F26" s="40">
        <v>0.9</v>
      </c>
    </row>
    <row r="27" spans="1:13" x14ac:dyDescent="0.25">
      <c r="A27" s="38" t="s">
        <v>268</v>
      </c>
      <c r="B27" s="38" t="s">
        <v>76</v>
      </c>
      <c r="C27" s="38">
        <v>1155776</v>
      </c>
      <c r="D27" s="38" t="s">
        <v>269</v>
      </c>
      <c r="E27" s="38">
        <v>0.15</v>
      </c>
      <c r="F27" s="38">
        <v>0.9</v>
      </c>
    </row>
    <row r="28" spans="1:13" ht="15" customHeight="1" x14ac:dyDescent="0.25">
      <c r="A28" s="40" t="s">
        <v>270</v>
      </c>
      <c r="B28" s="40" t="s">
        <v>76</v>
      </c>
      <c r="C28" s="40">
        <v>1155822</v>
      </c>
      <c r="D28" s="40" t="s">
        <v>271</v>
      </c>
      <c r="E28" s="40">
        <v>7.4999999999999997E-2</v>
      </c>
      <c r="F28" s="40">
        <v>0.9</v>
      </c>
      <c r="K28"/>
    </row>
    <row r="29" spans="1:13" x14ac:dyDescent="0.25">
      <c r="A29" s="38" t="s">
        <v>272</v>
      </c>
      <c r="B29" s="38" t="s">
        <v>76</v>
      </c>
      <c r="C29" s="38">
        <v>1155881</v>
      </c>
      <c r="D29" s="38" t="s">
        <v>273</v>
      </c>
      <c r="E29" s="38">
        <v>7.4999999999999997E-2</v>
      </c>
      <c r="F29" s="38">
        <v>0.9</v>
      </c>
      <c r="K29"/>
    </row>
    <row r="30" spans="1:13" x14ac:dyDescent="0.25">
      <c r="A30" s="40" t="s">
        <v>274</v>
      </c>
      <c r="B30" s="40" t="s">
        <v>76</v>
      </c>
      <c r="C30" s="40">
        <v>1155946</v>
      </c>
      <c r="D30" s="40" t="s">
        <v>275</v>
      </c>
      <c r="E30" s="40">
        <v>7.4999999999999997E-2</v>
      </c>
      <c r="F30" s="40">
        <v>0.9</v>
      </c>
      <c r="K30"/>
    </row>
    <row r="31" spans="1:13" x14ac:dyDescent="0.25">
      <c r="A31" s="38" t="s">
        <v>276</v>
      </c>
      <c r="B31" s="38" t="s">
        <v>76</v>
      </c>
      <c r="C31" s="38">
        <v>1155997</v>
      </c>
      <c r="D31" s="38" t="s">
        <v>277</v>
      </c>
      <c r="E31" s="38">
        <v>7.4999999999999997E-2</v>
      </c>
      <c r="F31" s="38">
        <v>0.9</v>
      </c>
      <c r="K31"/>
    </row>
    <row r="32" spans="1:13" x14ac:dyDescent="0.25">
      <c r="A32" s="40" t="s">
        <v>278</v>
      </c>
      <c r="B32" s="40" t="s">
        <v>76</v>
      </c>
      <c r="C32" s="40">
        <v>1154591</v>
      </c>
      <c r="D32" s="40" t="s">
        <v>279</v>
      </c>
      <c r="E32" s="40">
        <v>0.15</v>
      </c>
      <c r="F32" s="40">
        <v>0.9</v>
      </c>
      <c r="K32"/>
    </row>
    <row r="33" spans="1:6" x14ac:dyDescent="0.25">
      <c r="A33" s="38" t="s">
        <v>280</v>
      </c>
      <c r="B33" s="38" t="s">
        <v>76</v>
      </c>
      <c r="C33" s="38">
        <v>1103229</v>
      </c>
      <c r="D33" s="38" t="s">
        <v>281</v>
      </c>
      <c r="E33" s="38">
        <v>0.03</v>
      </c>
      <c r="F33" s="38">
        <v>0.9</v>
      </c>
    </row>
    <row r="34" spans="1:6" x14ac:dyDescent="0.25">
      <c r="A34" s="40" t="s">
        <v>282</v>
      </c>
      <c r="B34" s="40" t="s">
        <v>76</v>
      </c>
      <c r="C34" s="40">
        <v>1154613</v>
      </c>
      <c r="D34" s="40" t="s">
        <v>283</v>
      </c>
      <c r="E34" s="40">
        <v>0.05</v>
      </c>
      <c r="F34" s="40">
        <v>0.9</v>
      </c>
    </row>
    <row r="35" spans="1:6" x14ac:dyDescent="0.25">
      <c r="A35" s="38" t="s">
        <v>284</v>
      </c>
      <c r="B35" s="38" t="s">
        <v>76</v>
      </c>
      <c r="C35" s="38">
        <v>2214156</v>
      </c>
      <c r="D35" s="38" t="s">
        <v>285</v>
      </c>
      <c r="E35" s="38">
        <v>0.15</v>
      </c>
      <c r="F35" s="38">
        <v>0.9</v>
      </c>
    </row>
    <row r="36" spans="1:6" x14ac:dyDescent="0.25">
      <c r="A36" s="40" t="s">
        <v>286</v>
      </c>
      <c r="B36" s="40" t="s">
        <v>76</v>
      </c>
      <c r="C36" s="40">
        <v>2567831</v>
      </c>
      <c r="D36" s="40" t="s">
        <v>287</v>
      </c>
      <c r="E36" s="40">
        <v>0.1125</v>
      </c>
      <c r="F36" s="40">
        <v>0.9</v>
      </c>
    </row>
    <row r="37" spans="1:6" x14ac:dyDescent="0.25">
      <c r="A37" s="38" t="s">
        <v>288</v>
      </c>
      <c r="B37" s="38" t="s">
        <v>76</v>
      </c>
      <c r="C37" s="38">
        <v>1026666</v>
      </c>
      <c r="D37" s="38" t="s">
        <v>289</v>
      </c>
      <c r="E37" s="38">
        <v>7.4999999999999997E-2</v>
      </c>
      <c r="F37" s="38">
        <v>0.9</v>
      </c>
    </row>
    <row r="38" spans="1:6" x14ac:dyDescent="0.25">
      <c r="A38" s="40" t="s">
        <v>290</v>
      </c>
      <c r="B38" s="40" t="s">
        <v>76</v>
      </c>
      <c r="C38" s="40">
        <v>4938216</v>
      </c>
      <c r="D38" s="40" t="s">
        <v>291</v>
      </c>
      <c r="E38" s="40">
        <v>0.1125</v>
      </c>
      <c r="F38" s="40">
        <v>0.9</v>
      </c>
    </row>
    <row r="39" spans="1:6" x14ac:dyDescent="0.25">
      <c r="A39" s="38" t="s">
        <v>292</v>
      </c>
      <c r="B39" s="38" t="s">
        <v>76</v>
      </c>
      <c r="C39" s="38">
        <v>5604524</v>
      </c>
      <c r="D39" s="38" t="s">
        <v>293</v>
      </c>
      <c r="E39" s="38">
        <v>7.4999999999999997E-2</v>
      </c>
      <c r="F39" s="38">
        <v>0.9</v>
      </c>
    </row>
    <row r="40" spans="1:6" x14ac:dyDescent="0.25">
      <c r="A40" s="40" t="s">
        <v>294</v>
      </c>
      <c r="B40" s="40" t="s">
        <v>76</v>
      </c>
      <c r="C40" s="40">
        <v>4249372</v>
      </c>
      <c r="D40" s="40" t="s">
        <v>295</v>
      </c>
      <c r="E40" s="40">
        <v>0.5</v>
      </c>
      <c r="F40" s="40">
        <v>0.9</v>
      </c>
    </row>
    <row r="41" spans="1:6" x14ac:dyDescent="0.25">
      <c r="A41" s="38" t="s">
        <v>296</v>
      </c>
      <c r="B41" s="38" t="s">
        <v>76</v>
      </c>
      <c r="C41" s="38">
        <v>8338973</v>
      </c>
      <c r="D41" s="38" t="s">
        <v>297</v>
      </c>
      <c r="E41" s="38">
        <v>0.1125</v>
      </c>
      <c r="F41" s="38">
        <v>0.9</v>
      </c>
    </row>
    <row r="42" spans="1:6" x14ac:dyDescent="0.25">
      <c r="A42" s="40" t="s">
        <v>298</v>
      </c>
      <c r="B42" s="40" t="s">
        <v>76</v>
      </c>
      <c r="C42" s="40">
        <v>8795266</v>
      </c>
      <c r="D42" s="40" t="s">
        <v>299</v>
      </c>
      <c r="E42" s="40">
        <v>0.1125</v>
      </c>
      <c r="F42" s="40">
        <v>0.9</v>
      </c>
    </row>
    <row r="43" spans="1:6" x14ac:dyDescent="0.25">
      <c r="A43" s="38" t="s">
        <v>300</v>
      </c>
      <c r="B43" s="38" t="s">
        <v>76</v>
      </c>
      <c r="C43" s="38">
        <v>9219013</v>
      </c>
      <c r="D43" s="38" t="s">
        <v>301</v>
      </c>
      <c r="E43" s="38">
        <v>7.4999999999999997E-2</v>
      </c>
      <c r="F43" s="38">
        <v>0.9</v>
      </c>
    </row>
    <row r="44" spans="1:6" x14ac:dyDescent="0.25">
      <c r="A44" s="40" t="s">
        <v>302</v>
      </c>
      <c r="B44" s="40" t="s">
        <v>76</v>
      </c>
      <c r="C44" s="40">
        <v>1067079</v>
      </c>
      <c r="D44" s="40" t="s">
        <v>303</v>
      </c>
      <c r="E44" s="40">
        <v>0.1125</v>
      </c>
      <c r="F44" s="40">
        <v>0.9</v>
      </c>
    </row>
    <row r="45" spans="1:6" x14ac:dyDescent="0.25">
      <c r="A45" s="38" t="s">
        <v>304</v>
      </c>
      <c r="B45" s="38" t="s">
        <v>76</v>
      </c>
      <c r="C45" s="38">
        <v>3453260</v>
      </c>
      <c r="D45" s="38" t="s">
        <v>305</v>
      </c>
      <c r="E45" s="38">
        <v>0.3</v>
      </c>
      <c r="F45" s="38">
        <v>0.9</v>
      </c>
    </row>
    <row r="46" spans="1:6" x14ac:dyDescent="0.25">
      <c r="A46" s="40" t="s">
        <v>306</v>
      </c>
      <c r="B46" s="40" t="s">
        <v>76</v>
      </c>
      <c r="C46" s="40">
        <v>3272966</v>
      </c>
      <c r="D46" s="40" t="s">
        <v>307</v>
      </c>
      <c r="E46" s="40">
        <v>0.15</v>
      </c>
      <c r="F46" s="40">
        <v>0.9</v>
      </c>
    </row>
    <row r="47" spans="1:6" x14ac:dyDescent="0.25">
      <c r="A47" s="38" t="s">
        <v>308</v>
      </c>
      <c r="B47" s="38" t="s">
        <v>76</v>
      </c>
      <c r="C47" s="38">
        <v>1067133</v>
      </c>
      <c r="D47" s="38" t="s">
        <v>309</v>
      </c>
      <c r="E47" s="38">
        <v>0.15</v>
      </c>
      <c r="F47" s="38">
        <v>0.9</v>
      </c>
    </row>
    <row r="48" spans="1:6" x14ac:dyDescent="0.25">
      <c r="A48" s="40" t="s">
        <v>310</v>
      </c>
      <c r="B48" s="40" t="s">
        <v>76</v>
      </c>
      <c r="C48" s="40">
        <v>1154214</v>
      </c>
      <c r="D48" s="40" t="s">
        <v>311</v>
      </c>
      <c r="E48" s="40">
        <v>0.5</v>
      </c>
      <c r="F48" s="40">
        <v>0.9</v>
      </c>
    </row>
    <row r="49" spans="1:6" x14ac:dyDescent="0.25">
      <c r="A49" s="38" t="s">
        <v>312</v>
      </c>
      <c r="B49" s="38" t="s">
        <v>76</v>
      </c>
      <c r="C49" s="38">
        <v>1103458</v>
      </c>
      <c r="D49" s="38" t="s">
        <v>313</v>
      </c>
      <c r="E49" s="38">
        <v>7.4999999999999997E-2</v>
      </c>
      <c r="F49" s="38">
        <v>0.9</v>
      </c>
    </row>
    <row r="50" spans="1:6" x14ac:dyDescent="0.25">
      <c r="A50" s="40" t="s">
        <v>314</v>
      </c>
      <c r="B50" s="40" t="s">
        <v>76</v>
      </c>
      <c r="C50" s="40">
        <v>4916671</v>
      </c>
      <c r="D50" s="40" t="s">
        <v>315</v>
      </c>
      <c r="E50" s="40">
        <v>0.3</v>
      </c>
      <c r="F50" s="40">
        <v>0.9</v>
      </c>
    </row>
    <row r="51" spans="1:6" x14ac:dyDescent="0.25">
      <c r="A51" s="38" t="s">
        <v>316</v>
      </c>
      <c r="B51" s="38" t="s">
        <v>76</v>
      </c>
      <c r="C51" s="38">
        <v>1067109</v>
      </c>
      <c r="D51" s="38" t="s">
        <v>317</v>
      </c>
      <c r="E51" s="38">
        <v>0.1125</v>
      </c>
      <c r="F51" s="38">
        <v>0.9</v>
      </c>
    </row>
    <row r="52" spans="1:6" x14ac:dyDescent="0.25">
      <c r="A52" s="40" t="s">
        <v>318</v>
      </c>
      <c r="B52" s="40" t="s">
        <v>76</v>
      </c>
      <c r="C52" s="40">
        <v>2765837</v>
      </c>
      <c r="D52" s="40" t="s">
        <v>319</v>
      </c>
      <c r="E52" s="40">
        <v>0.8</v>
      </c>
      <c r="F52" s="40">
        <v>0.9</v>
      </c>
    </row>
    <row r="53" spans="1:6" x14ac:dyDescent="0.25">
      <c r="A53" s="38" t="s">
        <v>320</v>
      </c>
      <c r="B53" s="38" t="s">
        <v>76</v>
      </c>
      <c r="C53" s="38">
        <v>2789141</v>
      </c>
      <c r="D53" s="38" t="s">
        <v>321</v>
      </c>
      <c r="E53" s="38">
        <v>4.4999999999999998E-2</v>
      </c>
      <c r="F53" s="38">
        <v>0.9</v>
      </c>
    </row>
  </sheetData>
  <mergeCells count="1">
    <mergeCell ref="Q2:S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51DF-1E01-4EF4-9AD5-2D80C622C75A}">
  <dimension ref="A3:Y5"/>
  <sheetViews>
    <sheetView topLeftCell="G1" zoomScale="70" zoomScaleNormal="70" workbookViewId="0">
      <selection activeCell="H31" sqref="H31"/>
    </sheetView>
  </sheetViews>
  <sheetFormatPr baseColWidth="10" defaultRowHeight="15" x14ac:dyDescent="0.25"/>
  <cols>
    <col min="1" max="1" width="18.42578125" customWidth="1"/>
    <col min="2" max="2" width="12.140625" customWidth="1"/>
    <col min="7" max="7" width="16.42578125" customWidth="1"/>
    <col min="8" max="8" width="13.140625" customWidth="1"/>
    <col min="9" max="9" width="17.5703125" customWidth="1"/>
    <col min="10" max="11" width="17.7109375" customWidth="1"/>
    <col min="12" max="12" width="16.42578125" customWidth="1"/>
    <col min="13" max="13" width="8.85546875" customWidth="1"/>
    <col min="14" max="14" width="12.140625" customWidth="1"/>
    <col min="15" max="15" width="10.5703125" customWidth="1"/>
    <col min="16" max="16" width="8.140625" customWidth="1"/>
    <col min="17" max="17" width="7.140625" customWidth="1"/>
    <col min="18" max="18" width="10.5703125" customWidth="1"/>
  </cols>
  <sheetData>
    <row r="3" spans="1:25" ht="31.5" x14ac:dyDescent="0.25">
      <c r="A3" s="15" t="s">
        <v>13</v>
      </c>
      <c r="B3" s="15" t="s">
        <v>61</v>
      </c>
      <c r="C3" s="15" t="s">
        <v>14</v>
      </c>
      <c r="D3" s="15" t="s">
        <v>15</v>
      </c>
      <c r="E3" s="15" t="s">
        <v>16</v>
      </c>
      <c r="F3" s="22" t="s">
        <v>17</v>
      </c>
      <c r="G3" s="15" t="s">
        <v>18</v>
      </c>
      <c r="H3" s="23" t="s">
        <v>19</v>
      </c>
      <c r="I3" s="15" t="s">
        <v>20</v>
      </c>
      <c r="J3" s="15" t="s">
        <v>21</v>
      </c>
      <c r="K3" s="15" t="s">
        <v>22</v>
      </c>
      <c r="L3" s="33" t="s">
        <v>23</v>
      </c>
      <c r="M3" s="34"/>
      <c r="N3" s="34"/>
      <c r="O3" s="34"/>
      <c r="P3" s="34"/>
      <c r="Q3" s="35"/>
      <c r="R3" s="33" t="s">
        <v>24</v>
      </c>
      <c r="S3" s="34"/>
      <c r="T3" s="34"/>
      <c r="U3" s="34"/>
      <c r="V3" s="34"/>
      <c r="W3" s="35"/>
      <c r="X3" s="36" t="s">
        <v>25</v>
      </c>
      <c r="Y3" s="36"/>
    </row>
    <row r="4" spans="1:25" ht="47.25" x14ac:dyDescent="0.25">
      <c r="A4" s="24"/>
      <c r="B4" s="24"/>
      <c r="C4" s="24"/>
      <c r="D4" s="24"/>
      <c r="E4" s="24"/>
      <c r="F4" s="25"/>
      <c r="G4" s="24"/>
      <c r="H4" s="26"/>
      <c r="I4" s="24"/>
      <c r="J4" s="24"/>
      <c r="K4" s="24"/>
      <c r="L4" s="17" t="s">
        <v>62</v>
      </c>
      <c r="M4" s="17">
        <v>51</v>
      </c>
      <c r="N4" s="17" t="s">
        <v>63</v>
      </c>
      <c r="O4" s="17" t="s">
        <v>64</v>
      </c>
      <c r="P4" s="17" t="s">
        <v>65</v>
      </c>
      <c r="Q4" s="17" t="s">
        <v>66</v>
      </c>
      <c r="R4" s="17" t="s">
        <v>62</v>
      </c>
      <c r="S4" s="17" t="s">
        <v>67</v>
      </c>
      <c r="T4" s="17" t="s">
        <v>63</v>
      </c>
      <c r="U4" s="17" t="s">
        <v>64</v>
      </c>
      <c r="V4" s="17" t="s">
        <v>68</v>
      </c>
      <c r="W4" s="17" t="s">
        <v>66</v>
      </c>
      <c r="X4" s="27" t="s">
        <v>69</v>
      </c>
      <c r="Y4" s="17" t="s">
        <v>70</v>
      </c>
    </row>
    <row r="5" spans="1:25" ht="28.5" x14ac:dyDescent="0.25">
      <c r="A5" s="28" t="s">
        <v>322</v>
      </c>
      <c r="B5" s="28" t="s">
        <v>323</v>
      </c>
      <c r="C5" s="28">
        <v>13.8</v>
      </c>
      <c r="D5" s="28">
        <v>60</v>
      </c>
      <c r="E5" s="28">
        <v>120</v>
      </c>
      <c r="F5" s="28" t="s">
        <v>324</v>
      </c>
      <c r="G5" s="28" t="s">
        <v>325</v>
      </c>
      <c r="H5" s="28">
        <v>360</v>
      </c>
      <c r="I5" s="28" t="s">
        <v>26</v>
      </c>
      <c r="J5" s="28" t="s">
        <v>27</v>
      </c>
      <c r="K5" s="28" t="s">
        <v>28</v>
      </c>
      <c r="L5" s="29" t="s">
        <v>71</v>
      </c>
      <c r="M5" s="29">
        <v>6</v>
      </c>
      <c r="N5" s="30">
        <v>0.1</v>
      </c>
      <c r="O5" s="29" t="s">
        <v>326</v>
      </c>
      <c r="P5" s="29">
        <v>36</v>
      </c>
      <c r="Q5" s="29">
        <v>0</v>
      </c>
      <c r="R5" s="29" t="s">
        <v>71</v>
      </c>
      <c r="S5" s="29">
        <v>2</v>
      </c>
      <c r="T5" s="30">
        <v>0.15</v>
      </c>
      <c r="U5" s="29" t="s">
        <v>326</v>
      </c>
      <c r="V5" s="29">
        <v>20</v>
      </c>
      <c r="W5" s="29"/>
      <c r="X5" s="29" t="s">
        <v>327</v>
      </c>
      <c r="Y5" s="29">
        <v>60</v>
      </c>
    </row>
  </sheetData>
  <mergeCells count="3">
    <mergeCell ref="L3:Q3"/>
    <mergeCell ref="R3:W3"/>
    <mergeCell ref="X3:Y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Líneas </vt:lpstr>
      <vt:lpstr>Cargas_Demanda_corto</vt:lpstr>
      <vt:lpstr>Protecciones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BLANCO LAURA MARCELA</dc:creator>
  <cp:lastModifiedBy>ALEX DAVID NOVA ARDILA</cp:lastModifiedBy>
  <dcterms:created xsi:type="dcterms:W3CDTF">2021-09-13T20:23:29Z</dcterms:created>
  <dcterms:modified xsi:type="dcterms:W3CDTF">2026-05-21T20:40:06Z</dcterms:modified>
</cp:coreProperties>
</file>